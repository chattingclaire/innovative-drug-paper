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3月更新（3月信息）"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yyyy/MM/dd"/>
  </numFmts>
  <fonts count="3">
    <font>
      <sz val="11"/>
      <color theme="1"/>
      <name val="DengXian"/>
      <family val="2"/>
    </font>
    <font>
      <sz val="10"/>
      <color/>
      <name val="Calibri"/>
      <family val="2"/>
    </font>
    <font>
      <u val="single"/>
      <sz val="11"/>
      <color rgb="FF0000FF"/>
      <name val="DengXian"/>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true" applyAlignment="true">
      <alignment vertical="center"/>
    </xf>
    <xf numFmtId="164" fontId="0" fillId="0" borderId="0" xfId="0" applyNumberFormat="true" applyAlignment="false">
      <alignment/>
    </xf>
    <xf numFmtId="0" fontId="2" fillId="0" borderId="0" xfId="0" applyFon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s>
  <sheetData>
    <row r="1" ht="13" customHeight="1">
      <c r="A1" s="1" t="inlineStr">
        <is>
          <t>原文标题</t>
        </is>
      </c>
      <c r="B1" s="1" t="inlineStr">
        <is>
          <t>原文内容（期刊等较长篇幅内容可以放摘要）</t>
        </is>
      </c>
      <c r="C1" s="1" t="inlineStr">
        <is>
          <t>打分</t>
        </is>
      </c>
      <c r="D1" s="1" t="inlineStr">
        <is>
          <t>分类</t>
        </is>
      </c>
      <c r="E1" s="1" t="inlineStr">
        <is>
          <t>发布日期</t>
        </is>
      </c>
      <c r="F1" s="1" t="inlineStr">
        <is>
          <t>信息来源</t>
        </is>
      </c>
      <c r="G1" s="1" t="inlineStr">
        <is>
          <t>来源属性</t>
        </is>
      </c>
      <c r="H1" s="1" t="inlineStr">
        <is>
          <t>重要程度</t>
        </is>
      </c>
      <c r="I1" s="1" t="inlineStr">
        <is>
          <t>关键词标签</t>
        </is>
      </c>
      <c r="J1" s="1" t="inlineStr">
        <is>
          <t>更新人</t>
        </is>
      </c>
      <c r="K1" s="1" t="inlineStr">
        <is>
          <t>更新月份</t>
        </is>
      </c>
      <c r="L1" s="1" t="inlineStr">
        <is>
          <t>原文链接</t>
        </is>
      </c>
      <c r="M1" s="1" t="inlineStr">
        <is>
          <t>附件</t>
        </is>
      </c>
      <c r="N1" s="1" t="inlineStr">
        <is>
          <t>备注（选填）</t>
        </is>
      </c>
      <c r="O1" s="1" t="inlineStr">
        <is>
          <t>父记录</t>
        </is>
      </c>
    </row>
    <row r="2" ht="25.5" customHeight="1">
      <c r="A2" t="inlineStr">
        <is>
          <t>Enhertu granted Priority Review in the US as post-neoadjuvant treatment for patients with HER2-positive early breast cancer</t>
        </is>
      </c>
      <c r="B2" t="inlineStr">
        <is>
          <t>AstraZeneca and Daiichi Sankyo’s supplemental Biologics License Application (sBLA) for Enhertu (trastuzumab deruxtecan) has been accepted and granted Priority Review in the US for the treatment of adult patients with HER2-positive breast cancer who have residual invasive disease after neoadjuvant HER2-targeted treatment.
The Food and Drug Administration (FDA) grants Priority Review to applications for medicines that, if approved, would offer significant improvements over available treatment options by demonstrating safety or efficacy improvements, preventing serious conditions or enhancing patient compliance. The Prescription Drug User Fee Act date, the FDA action date for its regulatory decision, is anticipated during the third quarter of 2026.
Enhertu was recently granted Breakthrough Therapy Designation (BTD) by the FDA in this setting. BTD accelerates the development and regulatory review of potential new medicines intended to treat a serious condition and address a significant unmet medical need.
The sBLA also is being reviewed under Project Orbis, which provides a framework for concurrent submission and review of oncology medicines among participating international partners.
Around one in five breast cancers are considered HER2-positive, a subtype that is often associated with aggressive disease and poor prognosis.1-3 Currently, approximately half of patients with HER2-positive early breast cancer have residual disease following neoadjuvant treatment (before surgery), putting them at an increased risk of disease recurrence.4-9 Despite receiving additional treatment in the post-neoadjuvant setting with current standards of care, some patients still experience tumour progression to metastatic disease, where the five-year survival rate drops from nearly 90% to approximately 30%.10,11
Susan Galbraith, Executive Vice President, Oncology Haematology R&amp;D, AstraZeneca, said: “While there has been significant progress in treating HER2-positive early breast cancer, managing patients at a higher risk of recurrence remains challenging. With this Priority Review, we move closer to bringing Enhertu to the post-neoadjuvant setting, offering more patients the opportunity for sustained long-term outcomes and a potential path to cure.”
Ken Takeshita, Global Head, R&amp;D, Daiichi Sankyo, said: “For patients with residual invasive disease after neoadjuvant therapy, identifying additional treatments following surgery is critical to help further reduce the risk of recurrence and help prevent progression to metastatic disease. This Priority Review reinforces the potential of Enhertu to become a new standard of care for HER2-positive early breast cancer based on the results of DESTINY-Breast05.”
The sBLA is based on data from the DESTINY-Breast05 Phase III trial presented at the European Society for Medical Oncology (ESMO) 2025 Congress and subsequently published in The New England Journal of Medicine.1
In the trial, Enhertu significantly reduced the risk of invasive disease recurrence or death (invasive disease-free survival [IDFS]) by 53% compared with trastuzumab emtansine (T-DM1; based on a hazard ratio [HR] of 0.47; 95% confidence interval [CI] 0.34-0.66; p&lt;0.0001) as a post-neoadjuvant treatment for patients with HER2-positive breast cancer. Enhertu demonstrated a three-year IDFS rate of 92.4% compared with 83.7% with T-DM1. IDFS findings were consistent across all prespecified subgroups.
Enhertu also significantly reduced the risk of disease recurrence or death (disease-free survival [DFS]), a key secondary endpoint, by 53% versus T-DM1 (HR 0.47; 95% CI 0.34-0.66; p&lt;0.0001). Further, Enhertu lowered the risk of distant disease recurrence (distant recurrence-free interval) by 51% and the risk of brain metastases (brain metastasis-free interval) by 36% compared with T-DM1 (HR 0.64; 95% CI 0.35-1.17).
The safety profile of Enhertu observed in DESTINY-Breast05 was consistent with its known profile with no new safety concerns identified.
Regulatory submissions for Enhertu based upon DESTINY-Breast05 are also under review in the EU and Japan. In addition, an sBLA for Enhertu followed by paclitaxel, trastuzumab and pertuzumab (THP) currently is under review in the US for the neoadjuvant treatment of patients with HER2-positive early breast cancer based on results from the DESTINY-Breast11 trial.
Enhertu is already approved in more than 90 countries as a treatment for patients with HER2-positive metastatic breast cancer.
Enhertu is a specifically engineered HER2-directed DXd antibody drug conjugate (ADC) discovered by Daiichi Sankyo and being jointly developed and commercialised by AstraZeneca and Daiichi Sankyo.</t>
        </is>
      </c>
      <c r="C2" t="inlineStr">
        <is>
          <t>P0</t>
        </is>
      </c>
      <c r="D2" t="inlineStr">
        <is>
          <t>产品动向</t>
        </is>
      </c>
      <c r="E2" s="2">
        <v>46090</v>
      </c>
      <c r="F2" t="inlineStr">
        <is>
          <t>阿斯利康</t>
        </is>
      </c>
      <c r="G2" t="inlineStr">
        <is>
          <t>药企</t>
        </is>
      </c>
      <c r="H2" t="inlineStr">
        <is>
          <t>🌟🌟</t>
        </is>
      </c>
      <c r="I2" t="inlineStr">
        <is>
          <t>肿瘤, 新药审批</t>
        </is>
      </c>
      <c r="J2" t="inlineStr">
        <is>
          <t>于小迪</t>
        </is>
      </c>
      <c r="K2" t="inlineStr">
        <is>
          <t>4月</t>
        </is>
      </c>
      <c r="L2" s="3" t="str">
        <f>=HYPERLINK("https://www.astrazeneca.com/media-centre/press-releases/2026/enhertu-granted-priority-review-in-the-us-as-post-neoadjuvant-treatment-for-patients-with-her2-positive-early-breast-cancer.html", "https://www.astrazeneca.com/media-centre/press-releases/2026/enhertu-granted-priority-review-in-the-us-as-post-neoadjuvant-treatment-for-patients-with-her2-positive-early-breast-cancer.html")</f>
        <v>https://www.astrazeneca.com/media-centre/press-releases/2026/enhertu-granted-priority-review-in-the-us-as-post-neoadjuvant-treatment-for-patients-with-her2-positive-early-breast-cancer.html</v>
      </c>
      <c r="M2" t="inlineStr">
        <is>
          <t>Enhertu granted Priority Review in the ...with HER2-positive early breast cancer.pdf</t>
        </is>
      </c>
      <c r="N2"/>
      <c r="O2"/>
    </row>
    <row r="3" ht="25.5" customHeight="1">
      <c r="A3" t="inlineStr">
        <is>
          <t>Tozorakimab met primary endpoint in both OBERON and TITANIA Phase III trials in patients with COPD</t>
        </is>
      </c>
      <c r="B3" t="inlineStr">
        <is>
          <t>Positive high-level results from the Phase III OBERON and TITANIA trials in patients with chronic obstructive pulmonary disease (COPD) showed that tozorakimab reduced the annualised rate of moderate-to-severe COPD exacerbations compared with placebo, in the primary population of former smokers, and in the overall population, which included former and current smokers, and patients across all blood eosinophil* counts and all stages of lung function severity. Tozorakimab was generally well tolerated with a favourable safety profile.
Tozorakimab is a potential first-in-class monoclonal antibody targeting interleukin-33 (IL-33), that uniquely inhibits the signalling of the reduced and oxidised forms of IL-33, offering the potential to both reduce inflammation and disrupt the cycle of mucus dysfunction that contribute to COPD worsening.1-4 In the OBERON and TITANIA trials, tozorakimab was studied in patients with COPD still experiencing exacerbations while on inhaled standard of care.5,6 Patients received tozorakimab 300mg or placebo on top of standard of care once every four weeks.
Nearly 400 million people are diagnosed with COPD, a heterogenous and progressive disease and the 3rd leading cause of death globally.7,8 Even when on inhaled standard of care, more than 50% of patients experience exacerbations, putting them at an increased risk of cardiopulmonary events and mortality.9-12
Frank Sciurba, MD, FCCP, Professor of Pulmonary and Critical Care Medicine, University of Pittsburgh, Chief Investigator of LUNA programme, said: “These trial results suggest that targeting the IL-33 pathway with tozorakimab delivers meaningful clinical benefit in a trial representing a broad COPD population, independent of smoking status and eosinophilic levels. COPD has long been a difficult-to-treat disease with inherent heterogeneity and significant unmet need, with up to half of patients worldwide at risk of exacerbations, hospitalisations, cardiopulmonary events, and death — underscoring the importance of these results for advancing COPD science.”
Sharon Barr, Executive Vice President, BioPharmaceuticals R&amp;D, AstraZeneca, said: “Today’s tozorakimab results deliver the first two confirmatory Phase III trials for an IL-33 biologic, which is a major scientific advancement in COPD, the world’s third leading cause of death. Tozorakimab works in a fundamentally different way from other biologics, inhibiting the signalling of the reduced and oxidised forms of IL-33 to both decrease inflammation and disrupt the cycle of mucus dysfunction that are key disease drivers in COPD.”
The full results from the OBERON and TITANIA clinical trials will be shared with the scientific community at an upcoming medical meeting.
Additional Phase III trials of tozorakimab in COPD, PROSPERO and MIRANDA, are ongoing.13,14 Tozorakimab is also being studied in a Phase III trial for severe viral lower respiratory tract disease and in a Phase II trial in asthma.15,16
*eosinophil: a type of white blood cell, which at increased levels may contribute to inflammation in respiratory diseases.</t>
        </is>
      </c>
      <c r="C3" t="inlineStr">
        <is>
          <t>P0</t>
        </is>
      </c>
      <c r="D3" t="inlineStr">
        <is>
          <t>产品动向</t>
        </is>
      </c>
      <c r="E3" s="2">
        <v>46108</v>
      </c>
      <c r="F3" t="inlineStr">
        <is>
          <t>阿斯利康</t>
        </is>
      </c>
      <c r="G3" t="inlineStr">
        <is>
          <t>药企</t>
        </is>
      </c>
      <c r="H3" t="inlineStr">
        <is>
          <t>🌟</t>
        </is>
      </c>
      <c r="I3" t="inlineStr">
        <is>
          <t>免疫</t>
        </is>
      </c>
      <c r="J3" t="inlineStr">
        <is>
          <t>于小迪</t>
        </is>
      </c>
      <c r="K3" t="inlineStr">
        <is>
          <t>4月</t>
        </is>
      </c>
      <c r="L3" s="3" t="str">
        <f>=HYPERLINK("https://www.astrazeneca.com/media-centre/press-releases/2026/tozorakimab-met-primary-endpoint-in-oberon-titania-phase-iii-trials-in-patients-with-copd.html", "https://www.astrazeneca.com/media-centre/press-releases/2026/tozorakimab-met-primary-endpoint-in-oberon-titania-phase-iii-trials-in-patients-with-copd.html")</f>
        <v>https://www.astrazeneca.com/media-centre/press-releases/2026/tozorakimab-met-primary-endpoint-in-oberon-titania-phase-iii-trials-in-patients-with-copd.html</v>
      </c>
      <c r="M3" t="inlineStr">
        <is>
          <t>Tozorakimab met primary endpoint in bot...Phase III trials in patients with COPD.pdf</t>
        </is>
      </c>
      <c r="N3"/>
      <c r="O3"/>
    </row>
    <row r="4" ht="25.5" customHeight="1">
      <c r="A4" t="inlineStr">
        <is>
          <t>Sanofi’s venglustat earns Breakthrough Therapy designation in the US for type 3 Gaucher disease</t>
        </is>
      </c>
      <c r="B4" t="inlineStr">
        <is>
          <t>Paris, March 18, 2026. The US Food and Drug Administration (FDA) has granted Breakthrough Therapy designation to venglustat, a novel, investigational oral glucosylceramide synthase inhibitor (GCSi), for the treatment of neurological manifestations of type 3 Gaucher disease (GD3), a rare lysosomal storage disorder.
The designation is based on data from the LEAP2MONO phase 3 study (clinical study identifier: NCT05222906) in which patients receiving venglustat demonstrated statistically significant improvements in neurological symptoms measured by a global test score that included assessments for ataxia (mSARA) and cognition (RBANS) compared with patients receiving the enzyme replacement therapy (ERT), imiglucerase (p=0.007). In the study, venglustat was well tolerated overall with no new safety signals compared with previous studies. The most commonly reported adverse events were headache (14.3% in the venglustat arm versus 18.2% in the ERT arm), nausea (14.3% versus 4.5%), spleen enlargement (14.3% versus 0), and diarrhea (14.3% versus 0).
Gaucher disease (GD) is a rare inherited lysosomal storage disorder that results from a deficiency of an enzyme called glucocerebrosidase, leading to the accumulation of sugar-and-fat molecules called glycosphingolipids (GSL) in the spleen, liver, bone marrow, and lungs. There are three major forms of the disease: GD1, characterized by lack of central nervous system (CNS) involvement; GD2, marked by rapid neurological decline and severe neurocognitive symptoms; and GD3, marked by slower and more variable progression and symptom severity.
In people with GD3, accumulation of GSLs in the CNS can result in neurological symptoms, in addition to the systemic manifestations seen in GD1, such as liver and spleen enlargement, anaemia, low platelet counts, and bone disease. Systemic manifestations of GD3 are treated with ERT but there are no approved treatments for the neurological symptoms. Venglustat works by reducing the abnormal accumulation of GSLs. It is designed to cross the blood-brain barrier to target the underlying pathology causing the neurological effects of GD3.
“This regulatory milestone recognizes the significant unmet medical need for people living with type 3 Gaucher disease, particularly those experiencing progressive neurological deterioration,” said Karin Knobe, Global Head of Clinical Development, Rare Diseases at Sanofi. “The positive LEAP2MONO findings are an encouraging step forward in the research and development process, and we will continue collaborating with the FDA to advance this potential treatment option.”
Venglustat was previously granted fast-track designation from the FDA for its potential use in GD3 as well as orphan designation for GD3 in the US, EU and Japan. Sanofi will pursue global regulatory filings for venglustat in GD3 during 2026.
FDA Breakthrough Therapy designation is designed to expedite the development and review of medicines in the US that target serious or life-threatening conditions. Medicines qualifying for this designation must show preliminary clinical evidence that the drug may demonstrate substantial improvement on clinically significant endpoints over available medicines.</t>
        </is>
      </c>
      <c r="C4" t="inlineStr">
        <is>
          <t>P0</t>
        </is>
      </c>
      <c r="D4" t="inlineStr">
        <is>
          <t>产品动向</t>
        </is>
      </c>
      <c r="E4" s="2">
        <v>46099</v>
      </c>
      <c r="F4" t="inlineStr">
        <is>
          <t>赛诺菲</t>
        </is>
      </c>
      <c r="G4" t="inlineStr">
        <is>
          <t>药企</t>
        </is>
      </c>
      <c r="H4" t="inlineStr">
        <is>
          <t>🌟</t>
        </is>
      </c>
      <c r="I4" t="inlineStr">
        <is>
          <t>免疫</t>
        </is>
      </c>
      <c r="J4" t="inlineStr">
        <is>
          <t>于小迪</t>
        </is>
      </c>
      <c r="K4" t="inlineStr">
        <is>
          <t>4月</t>
        </is>
      </c>
      <c r="L4" s="3" t="str">
        <f>=HYPERLINK("https://www.sanofi.com/en/media-room/press-releases/2026/2026-03-18-06-00-00-3257888", "https://www.sanofi.com/en/media-room/press-releases/2026/2026-03-18-06-00-00-3257888")</f>
        <v>https://www.sanofi.com/en/media-room/press-releases/2026/2026-03-18-06-00-00-3257888</v>
      </c>
      <c r="M4" t="inlineStr">
        <is>
          <t>2026-03-18-06-00-00-3257888-en.pdf</t>
        </is>
      </c>
      <c r="N4"/>
      <c r="O4"/>
    </row>
    <row r="5" ht="25.5" customHeight="1">
      <c r="A5" t="inlineStr">
        <is>
          <t>Awiqli® approved in the US, the first and only once-weekly basal insulin treatment for adults with type 2 diabetes</t>
        </is>
      </c>
      <c r="B5" t="inlineStr">
        <is>
          <t>Bagsværd, Denmark, 27 March 2026 – Novo Nordisk today announced that the US Food and Drug Administration (FDA) has approved Awiqli® (insulin icodec-abae) injection 700 units/mL, the first and only once-weekly, long-acting basal insulin, indicated as an adjunct to diet and exercise to improve glycaemic control (blood sugar) in adults living with type 2 diabetes. The approval offers the only once‑weekly basal insulin option, providing a new treatment solution that fits different patient routines and preferences for adults living with type 2 diabetes.
The approval is based on results from the ONWARDS phase 3a programme in type-2-diabetes for once-weekly Awiqli® injection, which comprises four randomised, active-controlled, treat-to-target trials in approximately 2,680 adults with uncontrolled type 2 diabetes, used in combination with a mealtime insulin or in combination with common oral anti-diabetic agents and/or GLP-1 receptor agonists. The clinical programme evaluated once-weekly Awiqli® vs daily basal insulin and demonstrated efficacy in the primary endpoint of HbA1c reduction across the ONWARDS pivotal clinical trial programme in adults with type 2 diabetes. Across ONWARDS trials, the safety profile of Awiqli® was overall consistent with the daily basal insulin class.
“The Awiqli® approval reflects Novo Nordisk’s ongoing efforts to advance healthcare innovation and strengthen support for people living with diabetes. As the first FDA-approved, once-weekly basal insulin for adults with type 2 diabetes, it offers an important new treatment option. At a time when parts of the industry are stepping back from insulin, we are reaffirming our commitment - continuing to invest in innovation, access, and supply for the millions of patients who rely on insulin every day,” said Mike Doustdar, president and CEO of Novo Nordisk.
Novo Nordisk expects to launch Awiqli® in the FlexTouch® device in the US in the second half of 2026. Awiqli® is now approved in the US, EU, and 13 additional countries, with market-specific indications for diabetes.</t>
        </is>
      </c>
      <c r="C5" t="inlineStr">
        <is>
          <t>P0</t>
        </is>
      </c>
      <c r="D5" t="inlineStr">
        <is>
          <t>产品动向</t>
        </is>
      </c>
      <c r="E5" s="2">
        <v>46108</v>
      </c>
      <c r="F5" t="inlineStr">
        <is>
          <t>诺和诺德</t>
        </is>
      </c>
      <c r="G5" t="inlineStr">
        <is>
          <t>药企</t>
        </is>
      </c>
      <c r="H5" t="inlineStr">
        <is>
          <t>🌟🌟</t>
        </is>
      </c>
      <c r="I5" t="inlineStr">
        <is>
          <t>免疫, 新药审批</t>
        </is>
      </c>
      <c r="J5" t="inlineStr">
        <is>
          <t>于小迪</t>
        </is>
      </c>
      <c r="K5" t="inlineStr">
        <is>
          <t>4月</t>
        </is>
      </c>
      <c r="L5" s="3" t="str">
        <f>=HYPERLINK("https://www.novonordisk.com/content/nncorp/global/en/news-and-media/news-and-ir-materials/news-details.html?id=916521", "https://www.novonordisk.com/content/nncorp/global/en/news-and-media/news-and-ir-materials/news-details.html?id=916521")</f>
        <v>https://www.novonordisk.com/content/nncorp/global/en/news-and-media/news-and-ir-materials/news-details.html?id=916521</v>
      </c>
      <c r="M5" t="inlineStr">
        <is>
          <t>ca260327-awiqli-fda-approval.pdf</t>
        </is>
      </c>
      <c r="N5"/>
      <c r="O5"/>
    </row>
    <row r="6" ht="25.5" customHeight="1">
      <c r="A6" t="inlineStr">
        <is>
          <t>Phase 3b data presented at AAD Annual Meeting show Lilly's Taltz (ixekizumab) plus Zepbound (tirzepatide) delivered superior efficacy for adults with psoriatic arthritis and obesity</t>
        </is>
      </c>
      <c r="B6" t="inlineStr">
        <is>
          <t>On March 28, 2026, Eli Lilly announced results from the Phase 3b TOGETHER-PsA trial showing that concomitant use of Taltz (ixekizumab) and Zepbound (tirzepatide) delivered superior efficacy compared to Taltz monotherapy in adults with active psoriatic arthritis (PsA) and obesity or overweight with at least one weight-related comorbidity. This open-label trial randomized 271 participants with mean BMI of 37.6 kg/m². At the primary endpoint of Week 36, 31.7% of patients in the combination arm achieved both ACR50 response and ≥10% weight reduction, significantly outperforming monotherapy (0.8%). Combination therapy also significantly improved fatigue, physical function, mental health-related quality of life, cardiometabolic health, and inflammatory markers. Adverse events were generally mild to moderate and consistent with the known safety profiles of both medicines. Results were presented as a late-breaking presentation at the 2026 American Academy of Dermatology Annual Meeting and simultaneously published in Arthritis &amp; Rheumatology.</t>
        </is>
      </c>
      <c r="C6" t="inlineStr">
        <is>
          <t>P0</t>
        </is>
      </c>
      <c r="D6" t="inlineStr">
        <is>
          <t>产品动向</t>
        </is>
      </c>
      <c r="E6" s="2">
        <v>46109</v>
      </c>
      <c r="F6" t="inlineStr">
        <is>
          <t>礼来</t>
        </is>
      </c>
      <c r="G6" t="inlineStr">
        <is>
          <t>药企</t>
        </is>
      </c>
      <c r="H6" t="inlineStr">
        <is>
          <t>🌟</t>
        </is>
      </c>
      <c r="I6" t="inlineStr">
        <is>
          <t>GLP-1, 免疫, 新药审批</t>
        </is>
      </c>
      <c r="J6" t="inlineStr">
        <is>
          <t>朱伊</t>
        </is>
      </c>
      <c r="K6" t="inlineStr">
        <is>
          <t>4月</t>
        </is>
      </c>
      <c r="L6" s="3" t="str">
        <f>=HYPERLINK("https://investor.lilly.com/news-releases/news-release-details/phase-3b-data-presented-aad-annual-meeting-show-lillys-taltz", "https://investor.lilly.com/news-releases/news-release-details/phase-3b-data-presented-aad-annual-meeting-show-lillys-taltz")</f>
        <v>https://investor.lilly.com/news-releases/news-release-details/phase-3b-data-presented-aad-annual-meeting-show-lillys-taltz</v>
      </c>
      <c r="M6" t="inlineStr">
        <is>
          <t>Phase 3b data presented at AAD Annual Meeting show Lilly's Taltz (ixekizumab) plus Zepbound (tirzepatide) delivered superior efficacy for adults with psoriatic arthritis and obesity.pdf</t>
        </is>
      </c>
      <c r="N6"/>
      <c r="O6"/>
    </row>
    <row r="7" ht="25.5" customHeight="1">
      <c r="A7" t="inlineStr">
        <is>
          <t>Lilly's triple agonist, retatrutide, demonstrated significant reductions in A1C and weight in first Phase 3 trial for treatment of type 2 diabetes</t>
        </is>
      </c>
      <c r="B7" t="inlineStr">
        <is>
          <t>On March 19, 2026, Eli Lilly announced positive topline results from the TRANSCEND-T2D-1 trial showing that retatrutide, a first-in-class GIP, GLP-1 and glucagon triple hormone receptor agonist, delivered superior efficacy in type 2 diabetes. In this 40-week Phase 3 double-blind study of 537 treatment-naïve patients, the 12mg dose achieved up to 2.0% A1C reduction and average weight loss of 36.6 lbs (16.8%), with no weight loss plateau observed at Week 40. All dose groups met the primary endpoint and all key secondary endpoints, with clinically meaningful improvements in cardiovascular risk factors (non-HDL cholesterol, triglycerides, systolic blood pressure). Most common adverse events were nausea, diarrhea, and vomiting, occurring primarily during dose escalation; discontinuation rates were 2.2%-5.1%. Detailed results will be presented at the American Diabetes Association Scientific Sessions in June. Lilly is conducting multiple Phase 3 trials evaluating retatrutide in obesity, knee osteoarthritis, sleep apnea, and cardiovascular/renal outcomes.</t>
        </is>
      </c>
      <c r="C7" t="inlineStr">
        <is>
          <t>P0</t>
        </is>
      </c>
      <c r="D7" t="inlineStr">
        <is>
          <t>产品动向</t>
        </is>
      </c>
      <c r="E7" s="2">
        <v>46100</v>
      </c>
      <c r="F7" t="inlineStr">
        <is>
          <t>礼来</t>
        </is>
      </c>
      <c r="G7" t="inlineStr">
        <is>
          <t>药企</t>
        </is>
      </c>
      <c r="H7" t="inlineStr">
        <is>
          <t>🌟</t>
        </is>
      </c>
      <c r="I7" t="inlineStr">
        <is>
          <t>GLP-1, 新药审批</t>
        </is>
      </c>
      <c r="J7" t="inlineStr">
        <is>
          <t>朱伊</t>
        </is>
      </c>
      <c r="K7" t="inlineStr">
        <is>
          <t>4月</t>
        </is>
      </c>
      <c r="L7" s="3" t="str">
        <f>=HYPERLINK("https://investor.lilly.com/news-releases/news-release-details/lillys-triple-agonist-retatrutide-demonstrated-significant", "https://investor.lilly.com/news-releases/news-release-details/lillys-triple-agonist-retatrutide-demonstrated-significant")</f>
        <v>https://investor.lilly.com/news-releases/news-release-details/lillys-triple-agonist-retatrutide-demonstrated-significant</v>
      </c>
      <c r="M7" t="inlineStr">
        <is>
          <t>Lilly's triple agonist, retatrutide, demonstrated significant reductions in A1C and weight in first Phase 3 trial for treatment of type 2 diabetes.pdf</t>
        </is>
      </c>
      <c r="N7"/>
      <c r="O7"/>
    </row>
    <row r="8" ht="25.5" customHeight="1">
      <c r="A8" t="inlineStr">
        <is>
          <t>Bristol Myers Squibb Presents Positive Results from Phase 3 SCOUT-HCM Trial Demonstrating Efficacy and Safety of Camzyos (mavacamten) in Adolescents with Symptomatic Obstructive Hypertrophic Cardiomyopathy (oHCM)</t>
        </is>
      </c>
      <c r="B8" t="inlineStr">
        <is>
          <t>On March 29, 2026, Bristol Myers Squibb announced positive results from the Phase 3 SCOUT-HCM trial showing that Camzyos (mavacamten), a cardiac myosin inhibitor (CMI), was effective and well-tolerated in adolescents (ages 12 to &lt;18) with symptomatic obstructive hypertrophic cardiomyopathy (oHCM). In this randomized, double-blind, placebo-controlled study of 44 patients, the primary endpoint of change from baseline in Valsalva left ventricular outflow tract (LVOT) gradient at Week 28 demonstrated a statistically significant least-squares mean difference of −48.0 mm Hg (P&lt;0.0001) versus placebo. Secondary endpoints showed meaningful improvements in resting and post-exercise LVOT gradients, maximal left ventricular wall thickness, NYHA class, and mitral valve function. Safety findings were similar between Camzyos and placebo groups, with no patients experiencing LVEF&lt;50%, no treatment discontinuations due to adverse events, and no deaths. Camzyos, the most extensively studied CMI approved in over 60 countries for adult oHCM, represents the potential first targeted pharmacological therapy for adolescent oHCM. Data were presented as a late-breaking presentation at ACC 2026 and simultaneously published in the New England Journal of Medicine.</t>
        </is>
      </c>
      <c r="C8" t="inlineStr">
        <is>
          <t>P0</t>
        </is>
      </c>
      <c r="D8" t="inlineStr">
        <is>
          <t>产品动向</t>
        </is>
      </c>
      <c r="E8" s="2">
        <v>46110</v>
      </c>
      <c r="F8" t="inlineStr">
        <is>
          <t>BMS</t>
        </is>
      </c>
      <c r="G8" t="inlineStr">
        <is>
          <t>药企</t>
        </is>
      </c>
      <c r="H8"/>
      <c r="I8" t="inlineStr">
        <is>
          <t>新药审批</t>
        </is>
      </c>
      <c r="J8" t="inlineStr">
        <is>
          <t>朱伊</t>
        </is>
      </c>
      <c r="K8" t="inlineStr">
        <is>
          <t>4月</t>
        </is>
      </c>
      <c r="L8" s="3" t="str">
        <f>=HYPERLINK("https://news.bms.com/news/corporate-financial/2026/Bristol-Myers-Squibb-Presents-Positive-Results-from-Phase-3-SCOUT-HCM-Trial-Demonstrating-Efficacy-and-Safety-of-Camzyos-mavacamten-in-Adolescents-with-Symptomatic-Obstructive-Hypertrophic-Cardiomyopathy-oHCM/default.aspx", "https://news.bms.com/news/corporate-financial/2026/Bristol-Myers-Squibb-Presents-Positive-Results-from-Phase-3-SCOUT-HCM-Trial-Demonstrating-Efficacy-and-Safety-of-Camzyos-mavacamten-in-Adolescents-with-Symptomatic-Obstructive-Hypertrophic-Cardiomyopathy-oHCM/default.aspx")</f>
        <v>https://news.bms.com/news/corporate-financial/2026/Bristol-Myers-Squibb-Presents-Positive-Results-from-Phase-3-SCOUT-HCM-Trial-Demonstrating-Efficacy-and-Safety-of-Camzyos-mavacamten-in-Adolescents-with-Symptomatic-Obstructive-Hypertrophic-Cardiomyopathy-oHCM/default.aspx</v>
      </c>
      <c r="M8" t="inlineStr">
        <is>
          <t>Bristol Myers Squibb - Bristol Myers Sq...ive Hypertrophic Cardiomyopathy (oHCM).pdf</t>
        </is>
      </c>
      <c r="N8"/>
      <c r="O8"/>
    </row>
    <row r="9" ht="25.5" customHeight="1">
      <c r="A9" t="inlineStr">
        <is>
          <t>Bristol Myers Squibb Transforms the Classical Hodgkin Lymphoma Treatment Paradigm with Expanded U.S. and EMA Approvals for Opdivo® (nivolumab)</t>
        </is>
      </c>
      <c r="B9" t="inlineStr">
        <is>
          <t>On March 20, 2026, Bristol Myers Squibb announced two new regulatory approvals for Opdivo (nivolumab) in classical Hodgkin lymphoma (cHL): the U.S. FDA approved Opdivo in combination with AVD chemotherapy (doxorubicin, vinblastine, dacarbazine) for adult and pediatric patients 12 years and older with previously untreated Stage III or IV cHL, making it the first immunotherapy combination approved in this frontline setting based on the Phase 3 SWOG 1826 study showing a 58% reduction in risk of disease progression or death versus BV-AVD (HR 0.42, P&lt;0.0001); and the European Commission approved Opdivo in combination with brentuximab vedotin for children 5 years and older, adolescents, and adults up to 30 years of age with relapsed or refractory cHL after one prior line of therapy, making it the first immunotherapy combination approved in this population based on the Phase 2 CheckMate-744 study. Opdivo, the world's first approved PD-1 immune checkpoint inhibitor, is currently approved in more than 65 countries across multiple tumor types.</t>
        </is>
      </c>
      <c r="C9" t="inlineStr">
        <is>
          <t>P0</t>
        </is>
      </c>
      <c r="D9" t="inlineStr">
        <is>
          <t>产品动向</t>
        </is>
      </c>
      <c r="E9" s="2">
        <v>46101</v>
      </c>
      <c r="F9" t="inlineStr">
        <is>
          <t>BMS</t>
        </is>
      </c>
      <c r="G9" t="inlineStr">
        <is>
          <t>药企</t>
        </is>
      </c>
      <c r="H9"/>
      <c r="I9" t="inlineStr">
        <is>
          <t>肿瘤, 免疫, 新药审批</t>
        </is>
      </c>
      <c r="J9" t="inlineStr">
        <is>
          <t>朱伊</t>
        </is>
      </c>
      <c r="K9" t="inlineStr">
        <is>
          <t>4月</t>
        </is>
      </c>
      <c r="L9" s="3" t="str">
        <f>=HYPERLINK("https://news.bms.com/news/corporate-financial/2026/Bristol-Myers-Squibb-Transforms-the-Classical-Hodgkin-Lymphoma-Treatment-Paradigm-with-Expanded-U-S--and-EMA-Approvals-for-Opdivo-nivolumab/default.aspx", "https://news.bms.com/news/corporate-financial/2026/Bristol-Myers-Squibb-Transforms-the-Classical-Hodgkin-Lymphoma-Treatment-Paradigm-with-Expanded-U-S--and-EMA-Approvals-for-Opdivo-nivolumab/default.aspx")</f>
        <v>https://news.bms.com/news/corporate-financial/2026/Bristol-Myers-Squibb-Transforms-the-Classical-Hodgkin-Lymphoma-Treatment-Paradigm-with-Expanded-U-S--and-EMA-Approvals-for-Opdivo-nivolumab/default.aspx</v>
      </c>
      <c r="M9" t="inlineStr">
        <is>
          <t>Bristol Myers Squibb - Bristol Myers Sq... EMA Approvals for Opdivo® (nivolumab).pdf</t>
        </is>
      </c>
      <c r="N9"/>
      <c r="O9"/>
    </row>
    <row r="10" ht="25.5" customHeight="1">
      <c r="A10" t="inlineStr">
        <is>
          <t>Bristol Myers Squibb Announces Positive Phase 3 Results from the SUCCESSOR-2 Study of Oral Mezigdomide in Relapsed or Refractory Multiple Myeloma</t>
        </is>
      </c>
      <c r="B10" t="inlineStr">
        <is>
          <t>On March 9, 2026, Bristol Myers Squibb announced positive interim Phase 3 results from the SUCCESSOR-2 study showing that oral mezigdomide in combination with carfilzomib and dexamethasone (MeziKd) demonstrated statistically significant and clinically meaningful improvement in progression-free survival (PFS) versus carfilzomib and dexamethasone alone (Kd) in patients with relapsed or refractory multiple myeloma (RRMM), with safety findings consistent with the known profile, marking the first positive Phase 3 study for mezigdomide and the second positive Phase 3 study for the Bristol Myers Squibb CELMoD program; data will be presented at a future medical meeting and shared with health authorities.</t>
        </is>
      </c>
      <c r="C10" t="inlineStr">
        <is>
          <t>P0</t>
        </is>
      </c>
      <c r="D10" t="inlineStr">
        <is>
          <t>产品动向</t>
        </is>
      </c>
      <c r="E10" s="2">
        <v>46090</v>
      </c>
      <c r="F10" t="inlineStr">
        <is>
          <t>BMS</t>
        </is>
      </c>
      <c r="G10" t="inlineStr">
        <is>
          <t>药企</t>
        </is>
      </c>
      <c r="H10"/>
      <c r="I10" t="inlineStr">
        <is>
          <t>肿瘤, 新药审批</t>
        </is>
      </c>
      <c r="J10" t="inlineStr">
        <is>
          <t>朱伊</t>
        </is>
      </c>
      <c r="K10" t="inlineStr">
        <is>
          <t>4月</t>
        </is>
      </c>
      <c r="L10" s="3" t="str">
        <f>=HYPERLINK("https://news.bms.com/news/corporate-financial/2026/Bristol-Myers-Squibb-Announces-Positive-Phase-3-Results-from-the-SUCCESSOR-2-Study-of-Oral-Mezigdomide-in-Relapsed-or-Refractory-Multiple-Myeloma/default.aspx", "https://news.bms.com/news/corporate-financial/2026/Bristol-Myers-Squibb-Announces-Positive-Phase-3-Results-from-the-SUCCESSOR-2-Study-of-Oral-Mezigdomide-in-Relapsed-or-Refractory-Multiple-Myeloma/default.aspx")</f>
        <v>https://news.bms.com/news/corporate-financial/2026/Bristol-Myers-Squibb-Announces-Positive-Phase-3-Results-from-the-SUCCESSOR-2-Study-of-Oral-Mezigdomide-in-Relapsed-or-Refractory-Multiple-Myeloma/default.aspx</v>
      </c>
      <c r="M10" t="inlineStr">
        <is>
          <t>Bristol Myers Squibb - Bristol Myers Sq...elapsed or Refractory Multiple Myeloma.pdf</t>
        </is>
      </c>
      <c r="N10"/>
      <c r="O10"/>
    </row>
    <row r="11" ht="25.5" customHeight="1">
      <c r="A11" t="inlineStr">
        <is>
          <t>U.S. FDA Approves Bristol Myers Squibb’s Sotyktu® (deucravacitinib) for the Treatment of Adults with Active Psoriatic Arthritis</t>
        </is>
      </c>
      <c r="B11" t="inlineStr">
        <is>
          <t>On March 6, 2026, the U.S. FDA approved Bristol Myers Squibb's Sotyktu (deucravacitinib) for the treatment of adults with active psoriatic arthritis (PsA), making it the first and only TYK2 inhibitor approved for this indication. The approval is based on positive results from the pivotal POETYK PsA-1 and POETYK PsA-2 trials, in which 54% of Sotyktu-treated patients achieved ACR20 response at Week 16 versus 34% and 39% with placebo respectively (both p&lt;0.0002), with 19% and 26% achieving Minimal Disease Activity response. Sotyktu is an oral, selective, allosteric TYK2 inhibitor designed to selectively target TYK2 without inhibiting JAK1, JAK2 or JAK3, first approved in 2022 for moderate-to-severe plaque psoriasis, and this approval expands its role in managing psoriatic disease affecting both skin and joints.</t>
        </is>
      </c>
      <c r="C11" t="inlineStr">
        <is>
          <t>P0</t>
        </is>
      </c>
      <c r="D11" t="inlineStr">
        <is>
          <t>产品动向</t>
        </is>
      </c>
      <c r="E11" s="2">
        <v>46087</v>
      </c>
      <c r="F11" t="inlineStr">
        <is>
          <t>BMS</t>
        </is>
      </c>
      <c r="G11" t="inlineStr">
        <is>
          <t>药企</t>
        </is>
      </c>
      <c r="H11"/>
      <c r="I11" t="inlineStr">
        <is>
          <t>免疫, 新药审批</t>
        </is>
      </c>
      <c r="J11" t="inlineStr">
        <is>
          <t>朱伊</t>
        </is>
      </c>
      <c r="K11" t="inlineStr">
        <is>
          <t>4月</t>
        </is>
      </c>
      <c r="L11" s="3" t="str">
        <f>=HYPERLINK("https://news.bms.com/news/corporate-financial/2026/U-S--FDA-Approves-Bristol-Myers-Squibbs-Sotyktu-deucravacitinib-for-the-Treatment-of-Adults-with-Active-Psoriatic-Arthritis/default.aspx", "https://news.bms.com/news/corporate-financial/2026/U-S--FDA-Approves-Bristol-Myers-Squibbs-Sotyktu-deucravacitinib-for-the-Treatment-of-Adults-with-Active-Psoriatic-Arthritis/default.aspx")</f>
        <v>https://news.bms.com/news/corporate-financial/2026/U-S--FDA-Approves-Bristol-Myers-Squibbs-Sotyktu-deucravacitinib-for-the-Treatment-of-Adults-with-Active-Psoriatic-Arthritis/default.aspx</v>
      </c>
      <c r="M11" t="inlineStr">
        <is>
          <t>Bristol Myers Squibb - U.S. FDA Approve...Adults with Active Psoriatic Arthritis.pdf</t>
        </is>
      </c>
      <c r="N11"/>
      <c r="O11"/>
    </row>
    <row r="12" ht="25.5" customHeight="1">
      <c r="A12" t="inlineStr">
        <is>
          <t>Roche's fenebrutinib confirms its potential as first and only BTK inhibitor for relapsing and primary progressive MS in third positive Phase III study (FENhance 1)</t>
        </is>
      </c>
      <c r="B12" t="inlineStr">
        <is>
          <t>FENhance 1 met its primary endpoint, showing investigational fenebrutinib significantly reduced relapses by 51% compared to teriflunomide in relapsing multiple sclerosis (RMS), consistent with FENhance 2 results showing 59% reduction</t>
        </is>
      </c>
      <c r="C12" t="inlineStr">
        <is>
          <t>P0</t>
        </is>
      </c>
      <c r="D12" t="inlineStr">
        <is>
          <t>产品动向</t>
        </is>
      </c>
      <c r="E12" s="2">
        <v>46083</v>
      </c>
      <c r="F12" t="inlineStr">
        <is>
          <t>罗氏</t>
        </is>
      </c>
      <c r="G12" t="inlineStr">
        <is>
          <t>药企</t>
        </is>
      </c>
      <c r="H12"/>
      <c r="I12" t="inlineStr">
        <is>
          <t>新药审批</t>
        </is>
      </c>
      <c r="J12" t="inlineStr">
        <is>
          <t>贺岩</t>
        </is>
      </c>
      <c r="K12" t="inlineStr">
        <is>
          <t>4月</t>
        </is>
      </c>
      <c r="L12" s="3" t="str">
        <f>=HYPERLINK("https://www.roche.com/media/releases/med-cor-2026-03-02", "https://www.roche.com/media/releases/med-cor-2026-03-02")</f>
        <v>https://www.roche.com/media/releases/med-cor-2026-03-02</v>
      </c>
      <c r="M12" t="inlineStr">
        <is>
          <t>Roche's fenebrutinib confirms its potential as first and only BTK inhibitor for relapsing and primary progressive MS in third positive Phase III study (FENhance 1).pdf</t>
        </is>
      </c>
      <c r="N12"/>
      <c r="O12"/>
    </row>
    <row r="13" ht="25.5" customHeight="1">
      <c r="A13" t="inlineStr">
        <is>
          <t>FDA approval of ICOTYDE™ (icotrokinra) ushers in new era for first-line systemic treatment of plaque psoriasis with a targeted oral peptide</t>
        </is>
      </c>
      <c r="B13" t="inlineStr">
        <is>
          <t>SPRING HOUSE, Pa. (March 18, 2026) – Johnson &amp; Johnson (NYSE: JNJ) announced today that the U.S. Food and Drug Administration (FDA) has approved ICOTYDE™ (icotrokinra), an interleukin-23 (IL-23) receptor antagonist for the treatment of moderate-to-severe plaque psoriasis in adults and pediatric patients 12 years of age and older who weigh at least 40 kg who are candidates for systemic therapy or phototherapy.1 ICOTYDE is the first and only targeted oral peptide that precisely blocks the IL-23 receptor.2
“ICOTYDE delivers something unique in psoriasis treatment – combining skin clearance with a favorable safety profile in a once‑daily pill, making it an easy addition to a patient’s routine,” said Linda Stein Gold, M.D., Director of Dermatology Clinical Research at Henry Ford Health.a “With new guidance from the International Psoriasis Council that clarifies when to move beyond cycling on topical treatments to systemic therapy, an innovative option like ICOTYDE is a potential game‑changer for many adult and adolescent patients.”
Experience the interactive multimedia news release here.
Clinical evidence summary
ICOTYDE met all primary efficacy endpoints and demonstrated a favorable safety profile across four Phase 3 studies including 2,500 patients. The approval is based on an unprecedented body of evidence from the ICONIC clinical development program, which simultaneously evaluated ICOTYDE in adults and adolescents, high impact sites such as scalp and genital PsO, and in duplicate head-to-head trials versus an active comparator. In the head-to-head superiority studies, approximately 70% of patients achieved clear or almost clear skin (IGA 0/1) and 55% of patients achieved a Psoriasis Area and Severity Index (PASI) 90 response at Week 16.3,b,c Rates of adverse reactions for ICOTYDE treated patients were within 1.1% of placebo through Week 16 and no new safety signals were identified through Week 52.4
“With the FDA approval of ICOTYDE, Johnson &amp; Johnson is setting a new standard for the treatment of moderate-to-severe plaque psoriasis,” said Jennifer Taubert, Executive Vice President, Worldwide Chairman, Innovative Medicine, Johnson &amp; Johnson. “We’re proud to bring this game-changing innovation to the market, marking a transformative shift in plaque psoriasis management that empowers patients and clinicians to reach their treatment goals.”
Unmet need in moderate-to-severe plaque psoriasis
Psoriasis affects more than 8 million Americans, impacting physical comfort and quality of life, especially when lesions are on visible or sensitive areas.5 For many with moderate-to-severe disease, targeted systemic treatments are key. This aligns with International Psoriasis Council guidance to transition to systemic therapy if two cycles of topical medications applied for four weeks fail to bring meaningful improvement.6
“Finding the right treatment can take time, during which people with psoriatic disease should be considering multiple factors from efficacy to safety to how the treatment fits into their everyday life,” said Leah M. Howard, J.D., President and CEO of the National Psoriasis Foundation.d “The approval of a novel systemic therapy changes the conversation about treatment options for our community.”
“The approval of ICOTYDE represents a pivotal moment for people with plaque psoriasis,” said John Reed, M.D., Ph.D., Executive Vice President, R&amp;D, Innovative Medicine, Johnson &amp; Johnson. “At Johnson &amp; Johnson, we are harnessing our scientific expertise to transform cutting-edge science into meaningful solutions for patients. ICOTYDE is a fundamentally different treatment with the potential to redefine what physicians and patients can expect from psoriasis treatment.”
Access and support in the U.S.
Johnson &amp; Johnson is committed to helping patients access our treatments. Once a patient and their doctor have decided that ICOTYDE is right for the patient, ICOTYDE withMe provides a simple, comprehensive patient support program offering patients free resources and dedicated support, including cost support options, a dedicated Nurse Guidee and educational resources, regardless of insurance type.
Editor’s notes:
a. Dr. Stein Gold is a paid consultant for Johnson &amp; Johnson. She has not been compensated for any media work.
b. The IGA is a five-point scale with a severity score ranging from 0 to 4, where 0 indicates clear, 1 is minimal, 2 is mild, 3 is moderate, and 4 indicates severe disease.7
c. The PASI score grades the amount of surface area on each body region that is covered by psoriasis plaques and the severity of plaques for their redness, thickness and scaliness. PASI 90 corresponds to an improvement of &gt;=90% in PASI score from baseline.8
d. Leah Howard has not been compensated for any media work.
e. Nurse Guides do not provide medical advice.
About the ICONIC Clinical Development Program
The pivotal Phase 3 ICONIC clinical development program includes five Phase 3 studies of ICOTYDE in patients 12 and older with moderate-to-severe plaque PsO.
ICONIC-LEAD (NCT06095115) is a randomized clinical trial (RCT) to evaluate the efficacy and safety of ICOTYDE compared with placebo in participants with moderate-to-severe plaque PsO, with PASI 90 and IGA score of 0 or 1 with at least a 2-grade improvement as co-primary endpoints.9
ICONIC-TOTAL (NCT06095102) is a RCT to evaluate the efficacy and safety of ICOTYDE compared with placebo for the treatment of PsO in participants with at least moderate severity affecting special areas (e.g., scalp, genital, and/or hands and feet) with overall IGA score of 0 or 1 with at least a 2-grade improvement as the primary endpoint.10
ICONIC-ADVANCE 1 (NCT06143878) and ICONIC-ADVANCE 2 (NCT06220604) are RCTs to evaluate the efficacy and safety of ICOTYDE compared with both placebo and deucravacitinib in adults with moderate-to-severe plaque PsO.11,12
ICONIC-ASCEND (NCT06934226) is a RCT to evaluate the efficacy and safety of ICOTYDE compared with placebo and ustekinumab in participants with moderate-to-severe plaque psoriasis.13
Additional studies underway in other disease areas include: ICONIC-PsA 1 (NCT06878404) and ICONIC-PsA 2 (NCT06807424) in active psoriatic arthritis; ICONIC-UC (NCT071196748) in moderately-to-severely active ulcerative colitis; and ICONIC-CD (NCT7196722) in moderately-to-severely active Crohn’s disease.14,15,16,17
About Plaque Psoriasis
Plaque psoriasis (PsO) is a chronic immune-mediated disease resulting in overproduction of skin cells, which causes inflamed, scaly plaques that may be itchy or painful.18 It is estimated that 8 million Americans and more than 125 million people worldwide live with the disease.19 Nearly one-quarter of all people with plaque PsO have cases that are considered moderate-to-severe.19 Plaques typically appear as raised patches with a silvery white buildup of dead skin cells or scales. Plaques may appear red in lighter skin or more of a purple, gray or dark brown color in patients with darker skin tones. Plaques can appear anywhere on the body, although they most often appear on the scalp, knees, elbows, and torso.20 Living with plaque PsO can be a challenge and impact life beyond a person’s physical health, including emotional health, relationships, and handling the stressors of life. 21 Psoriasis on highly visible areas of the body or sensitive skin, such as the scalp, hands, feet, and genitals, can have an increased negative impact on quality of life.18,22
About ICOTYDE™ (icotrokinra)
ICOTYDE (icotrokinra) is the first and only targeted oral peptide designed to precisely block the IL-23 receptor, which underpins the inflammatory response in moderate-to-severe plaque PsO.2, 23,24 ICOTYDE binds to the IL-23 receptor with high affinity and demonstrated potent, inhibition of IL-23 signaling in human T cells.25 Clinical significance of these findings is unknown.
ICOTYDE is currently approved in the U.S. for the treatment of adults, and pediatric patients 12 years of age and older who weigh at least 40 kg, with moderate-to-severe plaque PsO who are candidates for systemic therapy or phototherapy. Patients on ICOTYDE take one pill, once a day with water upon waking, 30 minutes prior to eating food.1
ICOTYDE was jointly discovered and is being developed pursuant to the license and collaboration agreement between Protagonist and Johnson &amp; Johnson. Johnson &amp; Johnson retains exclusive worldwide rights to develop ICOTYDE in Phase 2 clinical trials and beyond, and to commercialize compounds derived from the research conducted pursuant to the agreement against a broad range of indications.26,27,28
ICOTYDE is also being studied in active psoriatic arthritis, moderately-to-severely active ulcerative colitis and moderately-to-severely active Crohn’s disease.14,15,16,17
For more information visit: www.icotyde.com.
ICOTYDE™ INDICATION AND IMPORTANT SAFETY INFORMATION
WHAT IS ICOTYDE™ (icotrokinra)?
ICOTYDE 200 mg is a prescription medicine used to treat moderate to severe plaque psoriasis in adults and children 12 years of age and older who weigh at least 88 pounds (40 kg), who may benefit from taking injections or medicines by mouth (systemic therapy) or treatment using ultraviolet or UV light (phototherapy).
IMPORTANT SAFETY INFORMATION
What is the most important information I should know about ICOTYDE?
Infections. Medicines that interact with the immune system, such as ICOTYDE, may lower your ability to fight infections and may increase your risk of infections. Your healthcare provider may check you for infections and tuberculosis (TB) before starting treatment and may treat you for TB before you begin treatment with ICOTYDE if you have a history of TB or have active TB. Your healthcare provider should watch you closely for signs and symptoms of TB during and after treatment with ICOTYDE.
Tell your healthcare provider right away if you have any infection or have symptoms of an infection, including:
o fever, sweat, or chills
o cough
o shortness of breath
o blood in your mucus (phlegm)
o muscle aches
o warm, red, or painful skin or sores on your body different from your psoriasis
o weight loss
o diarrhea or stomach pain
o burning when you urinate or urinating more often than normal
Before taking ICOTYDE, tell your healthcare provider about all of your medical conditions, including if you:
have an infection that does not go away or that keeps coming back.
have tuberculosis (TB) or have been in close contact with someone with TB.
have recently received or are scheduled to receive an immunization (vaccine). Avoid receiving live vaccines during treatment with ICOTYDE.
have kidney problems.
are pregnant or plan to become pregnant. It is not known if ICOTYDE can harm your unborn baby.
Pregnancy Safety Study. There is a pregnancy safety study for women who take ICOTYDE during pregnancy. The purpose of this study is to collect information about the health of you and your baby. If you are pregnant or become pregnant during treatment with ICOTYDE, you can report your pregnancy by calling 1-800-526-7736 or visiting www.ICOTYDE.com.
are breastfeeding or plan to breastfeed. It is not known if ICOTYDE passes into your breast milk. Talk to your healthcare provider about the best way to feed your baby during treatment with ICOTYDE.
Tell your healthcare provider about all the medicines you take, including prescription and over-the-counter medicines, vitamins, and herbal supplements.
What are the possible side effects of ICOTYDE?
ICOTYDE may cause serious side effects. See “What is the most important information I should know about ICOTYDE?”
The most common side effects of ICOTYDE include:
· headache
· nausea
· cough
· fungal infection
· tiredness
These are not all the possible side effects of ICOTYDE. Call your doctor for medical advice about side effects. You are encouraged to report negative side effects of prescription drugs to the FDA. Visit www.fda.gov/medwatch, or call 1-800-FDA-1088.
How should I take ICOTYDE?
Take ICOTYDE exactly as your healthcare provider tells you to take it.
Take ICOTYDE 1 time a day when you wake up on an empty stomach with water. Wait at least 30 minutes after taking ICOTYDE before eating food.
If you have difficulty swallowing tablets, ICOTYDE can be dispersed in water. For more information, please read the Medication Guide.
If you miss a dose of ICOTYDE, take the dose as soon as you remember and go back to your regular schedule the next day.
Please read the full Prescribing Information, including Medication Guide, for ICOTYDE and discuss any questions that you have with your doctor.
cp-564097v1</t>
        </is>
      </c>
      <c r="C13" t="inlineStr">
        <is>
          <t>P0</t>
        </is>
      </c>
      <c r="D13" t="inlineStr">
        <is>
          <t>产品动向</t>
        </is>
      </c>
      <c r="E13" s="2">
        <v>46099</v>
      </c>
      <c r="F13" t="inlineStr">
        <is>
          <t>强生</t>
        </is>
      </c>
      <c r="G13" t="inlineStr">
        <is>
          <t>药企</t>
        </is>
      </c>
      <c r="H13"/>
      <c r="I13" t="inlineStr">
        <is>
          <t>新药审批</t>
        </is>
      </c>
      <c r="J13" t="inlineStr">
        <is>
          <t>王宇超</t>
        </is>
      </c>
      <c r="K13" t="inlineStr">
        <is>
          <t>4月</t>
        </is>
      </c>
      <c r="L13" s="3" t="str">
        <f>=HYPERLINK("https://www.jnj.com/media-center/press-releases/fda-approval-of-icotyde-icotrokinra-ushers-in-new-era-for-first-line-systemic-treatment-of-plaque-psoriasis-with-a-targeted-oral-peptide", "https://www.jnj.com/media-center/press-releases/fda-approval-of-icotyde-icotrokinra-ushers-in-new-era-for-first-line-systemic-treatment-of-plaque-psoriasis-with-a-targeted-oral-peptide")</f>
        <v>https://www.jnj.com/media-center/press-releases/fda-approval-of-icotyde-icotrokinra-ushers-in-new-era-for-first-line-systemic-treatment-of-plaque-psoriasis-with-a-targeted-oral-peptide</v>
      </c>
      <c r="M13" t="inlineStr">
        <is>
          <t>10.pdf</t>
        </is>
      </c>
      <c r="N13"/>
      <c r="O13"/>
    </row>
    <row r="14" ht="25.5" customHeight="1">
      <c r="A14" t="inlineStr">
        <is>
          <t>Novartis Cosentyx® receives FDA approval for pediatric patients aged 12+ with moderate to severe hidradenitis suppurativa</t>
        </is>
      </c>
      <c r="B14" t="inlineStr">
        <is>
          <t>Basel, March 13, 2026 – Novartis announced today that Cosentyx® (secukinumab) received US Food and Drug Administration (FDA) approval for treating pediatric patients 12 years and older with moderate to severe hidradenitis suppurativa (HS), making it the only IL-17A inhibitor for this population1. The approval of a distinct biologic option for pediatric patients living with HS allows treatment to be tailored to the individual and establishes Cosentyx as a meaningful addition to the treatment landscape1-13.</t>
        </is>
      </c>
      <c r="C14" t="inlineStr">
        <is>
          <t>P0</t>
        </is>
      </c>
      <c r="D14" t="inlineStr">
        <is>
          <t>产品动向</t>
        </is>
      </c>
      <c r="E14" s="2">
        <v>46094</v>
      </c>
      <c r="F14" t="inlineStr">
        <is>
          <t>诺华</t>
        </is>
      </c>
      <c r="G14" t="inlineStr">
        <is>
          <t>药企</t>
        </is>
      </c>
      <c r="H14"/>
      <c r="I14" t="inlineStr">
        <is>
          <t>新药审批</t>
        </is>
      </c>
      <c r="J14" t="inlineStr">
        <is>
          <t>贺岩</t>
        </is>
      </c>
      <c r="K14" t="inlineStr">
        <is>
          <t>4月</t>
        </is>
      </c>
      <c r="L14" s="3" t="str">
        <f>=HYPERLINK("https://www.novartis.com/news/media-releases/novartis-cosentyx-receives-fda-approval-pediatric-patients-aged-12-moderate-severe-hidradenitis-suppurativa", "https://www.novartis.com/news/media-releases/novartis-cosentyx-receives-fda-approval-pediatric-patients-aged-12-moderate-severe-hidradenitis-suppurativa")</f>
        <v>https://www.novartis.com/news/media-releases/novartis-cosentyx-receives-fda-approval-pediatric-patients-aged-12-moderate-severe-hidradenitis-suppurativa</v>
      </c>
      <c r="M14" t="inlineStr">
        <is>
          <t>Novartis Cosentyx® receives FDA approval for pediatric patients aged 12+ with moderate to severe hidradenitis suppurativa.pdf</t>
        </is>
      </c>
      <c r="N14"/>
      <c r="O14"/>
    </row>
    <row r="15" ht="25.5" customHeight="1">
      <c r="A15" t="inlineStr">
        <is>
          <t>Long-term efficacy and safety of the single-dose tetravalent Butantan dengue vaccine</t>
        </is>
      </c>
      <c r="B15" t="inlineStr">
        <is>
          <t xml:space="preserve">Abstract
In individuals with prior dengue virus (DENV) exposure, subsequent heterotypic infection can increase the risk of severe disease. A single-dose dengue vaccine that protects against the four DENV serotypes across a wide age range and regardless of DENV serostatus is needed. Here we report the long-term safety and efficacy of Butantan dengue vaccine (Butantan-DV), a live, attenuated, tetravalent dengue vaccine, among participants ages 2–59 who were randomized 2:1 in a double-blind, placebo-controlled, phase 3 trial in Brazil. A primary objective was to evaluate vaccine efficacy (VE) against reverse transcription–PCR-positive symptomatic dengue 28 days after vaccination because of any DENV serotype, regardless of serostatus. Prespecified secondary endpoints included VE by serotype, by serostatus and against severe dengue or dengue with warning signs (combined). The primary and secondary objectives were met if the lower bound of the two-sided 95% confidence interval (CI) for VE was above 25%. Between 2016 and 2019, 16,235 participants received Butantan-DV (n = 10,259) or placebo (n = 5,976). The trial met the primary and secondary objectives. During the 5 years of follow-up, between 2016 and 2024, overall VE (95% CI) was 65.0% (57.8–71.0%). Secondary VE endpoints (95% CI) were 77.1% (67.6–83.9%) in dengue-experienced participants, 58.9% (48.0–67.6%) in dengue-naive participants, 73.0% (64.3–79.7%) against DENV-1 and 55.7% (42.3–66.1%) against DENV-2. Cases of DENV-3 or DENV-4 were not observed. VE (95% CI) against dengue with warning signs or severe dengue (secondary endpoint) was 80.5% (50.8–92.4%). The most commonly reported solicited systemic adverse event (AE) was headache (36.7% of vaccine recipients and 31.1% of placebo recipients), most of which were grade 1. The proportions of participants with unsolicited vaccine-related AEs (including serious AEs) were comparable between intervention groups. A single dose of Butantan-DV was efficacious against symptomatic virologically confirmed dengue because of DENV-1 or DENV-2, regardless of dengue serostatus at baseline, with no safety concerns observed during the 5-year follow-up </t>
        </is>
      </c>
      <c r="C15" t="inlineStr">
        <is>
          <t>P0</t>
        </is>
      </c>
      <c r="D15" t="inlineStr">
        <is>
          <t>产品动向</t>
        </is>
      </c>
      <c r="E15" s="2">
        <v>46085</v>
      </c>
      <c r="F15" t="inlineStr">
        <is>
          <t>Nature</t>
        </is>
      </c>
      <c r="G15" t="inlineStr">
        <is>
          <t>学术期刊</t>
        </is>
      </c>
      <c r="H15" t="inlineStr">
        <is>
          <t>🌟🌟</t>
        </is>
      </c>
      <c r="I15" t="inlineStr">
        <is>
          <t>疫苗</t>
        </is>
      </c>
      <c r="J15" t="inlineStr">
        <is>
          <t>张均好</t>
        </is>
      </c>
      <c r="K15" t="inlineStr">
        <is>
          <t>4月</t>
        </is>
      </c>
      <c r="L15" s="3" t="str">
        <f>=HYPERLINK("https://www.nature.com/articles/s41591-026-04255-3", "Long-term efficacy and safety of the single-dose tetravalent Butantan dengue vaccine | Nature Medicine")</f>
        <v>Long-term efficacy and safety of the single-dose tetravalent Butantan dengue vaccine | Nature Medicine</v>
      </c>
      <c r="M15"/>
      <c r="N15"/>
      <c r="O15"/>
    </row>
    <row r="16" ht="25.5" customHeight="1">
      <c r="A16" t="inlineStr">
        <is>
          <t>Pimicotinib versus placebo for tenosynovial giant cell tumour (MANEUVER): an international, randomised, placebo-controlled, phase 3 trial</t>
        </is>
      </c>
      <c r="B16" t="inlineStr">
        <is>
          <t>Background
Tenosynovial giant cell tumour (TGCT) is a rare, locally aggressive neoplasm that affects otherwise healthy adults. There are few systemic treatment options, highlighting an unmet need. We report the results of part 1 of the MANEUVER trial, which aimed to evaluate the efficacy and safety of pimicotinib, a highly selective, potent, colony-stimulating factor-1 receptor inhibitor, in patients with TGCT.
Methods
MANEUVER is a randomised, placebo-controlled, phase 3 study done in 40 specialised hospitals in Asia, Europe, and North America. Patients aged 18 years and older with unresectable, symptomatic TGCT (patient-reported worse stiffness or worst pain of at least 4 on a scale of 0–10) were randomly assigned (2:1, double-blind) to oral, once-daily pimicotinib 50 mg or placebo for 24 weeks (part 1). An independent statistician used a central interactive web response system to generate the randomisation schedule; stratification was by region (China vs non-China). Masking was achieved by using placebo identical in appearance to pimicotinib. In part 1, patients, all investigators, and study funders were masked to treatment assignments. All patients who completed part 1 were allowed to continue to open-label part 2: pimicotinib-treated patients could continue the same dosage and placebo-treated patients could cross over to receive pimicotinib for 24 weeks. Eligible patients who completed part 2 were allowed to continue once-daily pimicotinib long-term in part 3. The primary endpoint was objective response rate (ORR) at week 25 by blinded independent review committee per Response Evaluation Criteria in Solid Tumors version 1.1 in the intention-to-treat population (all randomised patients). Safety was analysed in patients who received at least one dose of study drug. Missing data were not imputed and only observed data were analysed. Trial enrolment is complete; the study is registered at ClinicalTrials.gov (NCT05804045) and is ongoing.
Findings
Between April 27, 2023, and March 29, 2024, 126 patients were screened and 94 patients (China [n=45], non-China [n=49]) were randomly assigned to, and received, pimicotinib (n=63) or placebo (n=31). 30 (32%) patients were male and 64 (68%) were female. ORR at week 25 was 54% (34 of 63) in the pimicotinib group and 3% (one of 31) in the placebo group (absolute difference 51% [95% CI 33–63], p&lt;0·0001). Pimicotinib was associated with mainly mild treatment-emergent adverse events, including mostly manageable asymptomatic laboratory abnormalities and clinical events, such as pruritus, facial oedema, rash, periorbital oedema, and fatigue. The only grade 3 or 4 treatment-emergent adverse event occurring in more than 10% of pimicotinib-treated patients was increase in blood creatine phosphokinase, in eight (13%) of 63 patients. The most common treatment-emergent adverse events in the placebo group were fatigue and arthralgia. Dose reductions occurred in five (8%) of 63 pimicotinib-treated patients and treatment discontinuations in one (2%) of 63 pimicotinib-treated patients. There was no cholestatic hepatotoxicity, drug-induced liver injury, or hypopigmentation of skin or hair.
Interpretation
Pimicotinib showed robust antitumour activity with clinically meaningful improvements in TGCT-related functional limitations and symptom burden, offering an effective treatment option with a manageable safety profile for this underserved condition.</t>
        </is>
      </c>
      <c r="C16" t="inlineStr">
        <is>
          <t>P0</t>
        </is>
      </c>
      <c r="D16" t="inlineStr">
        <is>
          <t>产品动向</t>
        </is>
      </c>
      <c r="E16" s="2">
        <v>46095</v>
      </c>
      <c r="F16" t="inlineStr">
        <is>
          <t>Lancet</t>
        </is>
      </c>
      <c r="G16" t="inlineStr">
        <is>
          <t>学术期刊</t>
        </is>
      </c>
      <c r="H16" t="inlineStr">
        <is>
          <t>🌟</t>
        </is>
      </c>
      <c r="I16" t="inlineStr">
        <is>
          <t>肿瘤</t>
        </is>
      </c>
      <c r="J16" t="inlineStr">
        <is>
          <t>张均好</t>
        </is>
      </c>
      <c r="K16" t="inlineStr">
        <is>
          <t>4月</t>
        </is>
      </c>
      <c r="L16" s="3" t="str">
        <f>=HYPERLINK("https://www.thelancet.com/journals/lancet/article/PIIS0140-6736(25)02602-9/fulltext", "Pimicotinib versus placebo for tenosynovial giant cell tumour (MANEUVER): an international, randomised, placebo-controlled, phase 3 trial - The Lancet")</f>
        <v>Pimicotinib versus placebo for tenosynovial giant cell tumour (MANEUVER): an international, randomised, placebo-controlled, phase 3 trial - The Lancet</v>
      </c>
      <c r="M16"/>
      <c r="N16"/>
      <c r="O16"/>
    </row>
    <row r="17" ht="25.5" customHeight="1">
      <c r="A17" t="inlineStr">
        <is>
          <t>Imfinzi approved in the EU as first and only perioperative immunotherapy for patients with early gastric and gastroesophageal cancers</t>
        </is>
      </c>
      <c r="B17" t="inlineStr">
        <is>
          <t>AstraZeneca’s Imfinzi (durvalumab) in combination with standard-of-care FLOT chemotherapy (fluorouracil, leucovorin, oxaliplatin, and docetaxel) has been approved in the European Union (EU) for the treatment of adult patients with resectable, early-stage and locally advanced (Stages II, III, IVA) gastric and gastroesophageal junction (GEJ) cancers. The regimen includes two cycles of Imfinzi in combination with chemotherapy before and after surgery, followed by Imfinzi monotherapy.
The approval by the European Commission follows the positive opinion of the Committee for Medicinal Products for Human Use and is based on the positive results from the MATTERHORN Phase III trial, which were published in The New England Journal of Medicine.
Gastric cancer is the fifth leading cause of cancer death globally, with nearly one million people diagnosed each year.1 In 2024, there were roughly 15,500 drug-treated patients in the EU with early-stage and locally advanced gastric or GEJ cancer.2
Josep Tabernero, MD, PhD, head of the Medical Oncology Department at Vall d'Hebron University Hospital and director of the Vall d’Hebron Institute of Oncology (VHIO) in  Barcelona, Spain, and principal investigator in the trial, said: “Despite curative-intent surgery and chemotherapy, patients with resectable gastric and gastroesophageal cancers still face high recurrence rates and an urgent need for improved long-term survival. In MATTERHORN, nearly 70 per cent of patients were still alive three years after treatment with the durvalumab-based perioperative regimen. This EU approval brings patients the first immunotherapy regimen to extend survival in this early setting and is poised to become the new standard of care.”
Dave Fredrickson, Executive Vice President, Oncology Haematology Business Unit, AstraZeneca, said: “This approval marks our third perioperative approval in Europe for an Imfinzi-based regimen, underscoring AstraZeneca’s commitment to transforming outcomes in early-stage disease, where cure is possible. For patients with early gastric and gastroesophageal cancers, this immunotherapy-based regimen delivers a durable survival benefit that increases over time.”
In a planned interim analysis, patients treated with the Imfinzi-based perioperative regimen showed a 29% reduction in the risk of disease progression, recurrence or death versus chemotherapy alone (based on an event-free survival [EFS] hazard ratio [HR] of 0.71; 95% confidence interval [CI] 0.58–0.86; p&lt;0.001). Estimated median EFS was not yet reached for the Imfinzi arm versus 32.8 months for the comparator arm. An estimated 78.2% of patients treated with the Imfinzi-based perioperative regimen were event-free at one year, compared to 74.0% in the comparator arm; the estimated 24-month EFS rate was 67.4% versus 58.5%, respectively.
In the final overall survival (OS) analysis, results showed the Imfinzi and FLOT perioperative regimen demonstrated a statistically significant and clinically meaningful survival improvement, reducing the risk of death by 22% compared to chemotherapy alone (based on a HR of 0.78; 95% CI 0.63-0.96; p=0.021). An estimated 69% of patients treated with the Imfinzi-based regimen were alive at three years compared with 62% in the comparator arm. At each subsequent prespecified OS landmark, the survival curves indicated increasing separation, signaling a greater magnitude of benefit over time for the Imfinzi-based regimen. An OS benefit was observed regardless of tumour PD-L1 status. OS results from MATTERHORN were presented in a Proffered Paper session at the European Society for Medical Oncology (ESMO) Congress 2025.
The safety profile for Imfinzi and FLOT chemotherapy was consistent with the known profiles of each medicine, and the percentage of patients that completed surgery was similar compared to chemotherapy alone. Grade 3 or higher adverse events due to any cause were similar between the two arms (71.6% for Imfinzi and FLOT arm; 71.2% for comparator arm).
Imfinzi and FLOT chemotherapy is approved in the US and other countries based on the MATTERHORN results. Regulatory applications are currently under review in Japan and several other countries for this indication.</t>
        </is>
      </c>
      <c r="C17" t="inlineStr">
        <is>
          <t>P1</t>
        </is>
      </c>
      <c r="D17" t="inlineStr">
        <is>
          <t>产品动向</t>
        </is>
      </c>
      <c r="E17" s="2">
        <v>46097</v>
      </c>
      <c r="F17" t="inlineStr">
        <is>
          <t>阿斯利康</t>
        </is>
      </c>
      <c r="G17" t="inlineStr">
        <is>
          <t>药企</t>
        </is>
      </c>
      <c r="H17" t="inlineStr">
        <is>
          <t>🌟🌟🌟</t>
        </is>
      </c>
      <c r="I17" t="inlineStr">
        <is>
          <t>肿瘤, 新药审批, 免疫</t>
        </is>
      </c>
      <c r="J17" t="inlineStr">
        <is>
          <t>于小迪</t>
        </is>
      </c>
      <c r="K17" t="inlineStr">
        <is>
          <t>4月</t>
        </is>
      </c>
      <c r="L17" s="3" t="str">
        <f>=HYPERLINK("https://www.astrazeneca.com/media-centre/press-releases/2026/imfinzi-approved-in-eu-for-early-gastric-cancer.html", "https://www.astrazeneca.com/media-centre/press-releases/2026/imfinzi-approved-in-eu-for-early-gastric-cancer.html")</f>
        <v>https://www.astrazeneca.com/media-centre/press-releases/2026/imfinzi-approved-in-eu-for-early-gastric-cancer.html</v>
      </c>
      <c r="M17" t="inlineStr">
        <is>
          <t>Imfinzi approved in the EU as first and...y gastric and gastroesophageal cancers.pdf</t>
        </is>
      </c>
      <c r="N17"/>
      <c r="O17"/>
    </row>
    <row r="18" ht="25.5" customHeight="1">
      <c r="A18" t="inlineStr">
        <is>
          <t>Sanofi’s rilzabrutinib earns orphan drug designation in Japan for IgG4-related disease</t>
        </is>
      </c>
      <c r="B18" t="inlineStr">
        <is>
          <t>Paris, March 2, 2026 – The Ministry of Health, Labour and Welfare (MHLW) in Japan has granted orphan drug designation to rilzabrutinib, a novel, oral, reversible covalent Bruton’s tyrosine kinase (BTK) inhibitor, for IgG4-related disease (IgG4-RD). There is still unmet medical need and limited treatment options in Japan for IgG4-RD, a rare, progressive, immune-mediated chronic condition in which the immune system attacks various tissues and organs leading to serious damage. The MHLW grants orphan designation to medicines that address rare diseases or conditions with unmet medical needs.
Rilzabrutinib for the treatment of IgG4-RD was evaluated in a phase 2 study (clinical study identifier: NCT04520451) and results were presented at the European Alliance of Associations for Rheumatology 2025 congress. In IgG4-RD patients, treatment with rilzabrutinib for 52 weeks led to reduction in disease flares and other disease markers and minimized the need for treatment with glucocorticoids. The safety profile of rilzabrutinib in the study was consistent with previous studies in other indications, with no new safety signals observed. Treatment-emergent adverse events reported by &gt;10% of patients include diarrhea, COVID-19, dizziness, dry mouth and nausea. Currently, rilzabrutinib in IgG4-RD is being evaluated in the RILIEF phase 3 study (clinical study identifier: NCT07190196).
Rilzabrutinib is being studied across multiple rare immune-mediated diseases. In 2025, it received approval for immune thrombocytopenia (ITP) in the US, the EU, and the UAE. Additionally, rilzabrutinib is currently under regulatory review for ITP in Japan. Rilzabrutinib has received several expedited designations from global regulatory authorities for ITP, IgG4-RD, warm autoimmune hemolytic anemia (wAIHA), and sickle cell disease (SCD). Other than the approved ITP indications in the US, EU, and UAE, these uses of rilzabrutinib are investigational and have not been evaluated by any regulatory authority.</t>
        </is>
      </c>
      <c r="C18" t="inlineStr">
        <is>
          <t>P1</t>
        </is>
      </c>
      <c r="D18" t="inlineStr">
        <is>
          <t>产品动向</t>
        </is>
      </c>
      <c r="E18" s="2">
        <v>46083</v>
      </c>
      <c r="F18" t="inlineStr">
        <is>
          <t>赛诺菲</t>
        </is>
      </c>
      <c r="G18" t="inlineStr">
        <is>
          <t>药企</t>
        </is>
      </c>
      <c r="H18" t="inlineStr">
        <is>
          <t>🌟🌟</t>
        </is>
      </c>
      <c r="I18" t="inlineStr">
        <is>
          <t>免疫, 新药审批</t>
        </is>
      </c>
      <c r="J18" t="inlineStr">
        <is>
          <t>于小迪</t>
        </is>
      </c>
      <c r="K18" t="inlineStr">
        <is>
          <t>4月</t>
        </is>
      </c>
      <c r="L18" s="3" t="str">
        <f>=HYPERLINK("https://www.sanofi.com/en/media-room/press-releases/2026/2026-03-02-06-00-00-3247008", "https://www.sanofi.com/en/media-room/press-releases/2026/2026-03-02-06-00-00-3247008")</f>
        <v>https://www.sanofi.com/en/media-room/press-releases/2026/2026-03-02-06-00-00-3247008</v>
      </c>
      <c r="M18" t="inlineStr">
        <is>
          <t>2026-03-02-06-00-00-3247008-en.pdf</t>
        </is>
      </c>
      <c r="N18"/>
      <c r="O18"/>
    </row>
    <row r="19" ht="25.5" customHeight="1">
      <c r="A19" t="inlineStr">
        <is>
          <t>Sanofi and Regeneron’s Dupixent approved in Japan as the first targeted medicine to treat adults with bullous pemphigoid</t>
        </is>
      </c>
      <c r="B19" t="inlineStr">
        <is>
          <t>Paris and Tarrytown, NY, March 24, 2026. The Ministry of Health, Labour and Welfare in Japan has granted marketing and manufacturing authorization for Dupixent (dupilumab) for the treatment of adults with moderate-to-severe bullous pemphigoid (BP).
The approval in Japan is based on data from the pivotal LIBERTY-BP-ADEPT phase 2/3 study (clinical study identifier: NCT04206553), which evaluated Dupixent in adults with moderate-to-severe BP. Patients were randomized to receive Dupixent 300 mg (n=53) or placebo (n=53) added to standard-of-care oral corticosteroids (OCS). During treatment, all patients underwent a protocol-defined OCS tapering regimen if control of disease activity was maintained. For the primary endpoint, more than four times as many patients on Dupixent experienced sustained disease remission compared to placebo (18% vs. 4%; p=0.0250) at Week 36 in the companies’ core dataset used for the regulatory submission in Japan.
Treatment-related adverse events (AEs) occurred in 26% of Dupixent patients and 15% of placebo patients. The treatment-related AE most commonly reported with Dupixent was conjunctivitis (4%).
In addition to BP, Dupixent is approved in Japan in certain patients with atopic dermatitis, asthma, chronic rhinosinusitis with nasal polyposis (CRSwNP), prurigo nodularis, chronic spontaneous urticaria (CSU), and chronic obstructive pulmonary disease (COPD).</t>
        </is>
      </c>
      <c r="C19" t="inlineStr">
        <is>
          <t>P1</t>
        </is>
      </c>
      <c r="D19" t="inlineStr">
        <is>
          <t>产品动向</t>
        </is>
      </c>
      <c r="E19" s="2">
        <v>46105</v>
      </c>
      <c r="F19" t="inlineStr">
        <is>
          <t>赛诺菲</t>
        </is>
      </c>
      <c r="G19" t="inlineStr">
        <is>
          <t>药企</t>
        </is>
      </c>
      <c r="H19" t="inlineStr">
        <is>
          <t>🌟🌟🌟</t>
        </is>
      </c>
      <c r="I19" t="inlineStr">
        <is>
          <t>免疫, 新药审批</t>
        </is>
      </c>
      <c r="J19" t="inlineStr">
        <is>
          <t>于小迪</t>
        </is>
      </c>
      <c r="K19" t="inlineStr">
        <is>
          <t>4月</t>
        </is>
      </c>
      <c r="L19" s="3" t="str">
        <f>=HYPERLINK("https://www.sanofi.com/en/media-room/press-releases/2026/2026-03-24-06-00-00-3260948", "https://www.sanofi.com/en/media-room/press-releases/2026/2026-03-24-06-00-00-3260948")</f>
        <v>https://www.sanofi.com/en/media-room/press-releases/2026/2026-03-24-06-00-00-3260948</v>
      </c>
      <c r="M19" t="inlineStr">
        <is>
          <t>2026-03-24-06-00-00-3260948-en.pdf</t>
        </is>
      </c>
      <c r="N19"/>
      <c r="O19"/>
    </row>
    <row r="20" ht="25.5" customHeight="1">
      <c r="A20" t="inlineStr">
        <is>
          <t>Sanofi’s Rezurock approved in the EU to treat chronic graft-vs-host disease</t>
        </is>
      </c>
      <c r="B20" t="inlineStr">
        <is>
          <t>Paris, March 31, 2026. The European Commission has granted a conditional marketing authorisation for Rezurock (belumosudil) for the treatment of chronic graft-versus-host disease (GVHD) in adults and in children aged 12 years and older with a body weight of at least 40 kg. The medicine is to be used when other treatment options provide limited clinical benefit, are not suitable, or have been exhausted. The conditional marketing authorisation is contingent on completion of a confirmatory, randomised, controlled study. This follows the positive opinion by the European Medicines Agency's Committee for Medicinal Products for Human Use (CHMP) issued on 30 January 2026.
“Chronic GVHD is a serious and potentially life-threatening condition, imposing profound physical and emotional burdens on a substantial proportion of patients following allogeneic stem cell transplantation. Across the EU, many patients continue to face significant challenges in managing this disease, particularly when existing therapies fail to provide adequate benefit,” said Mohamad Mohty, Professor of Haematology and Head of the Haematology and Cellular Therapy Department at Hôpital Saint-Antoine and Sorbonne University, Paris, France. “This approval represents an important advance, offering a new therapeutic option that has the potential to meaningfully improve the lives of patients.”
“Nearly one in two patients with chronic GVHD require third-line treatment, yet therapeutic options available for EU patients at this late stage of the disease have remained limited,” said Olivier Charmeil, Executive Vice President, General Medicines, and Interim CEO, Sanofi. “We have an ongoing commitment to supporting patients with chronic GVHD and their caregivers and are pleased to deliver this new treatment option to patients living with this debilitating and long-term condition.”
This approval is based on safety and efficacy results from several clinical studies and real-world evidence. This includes the randomised, multicenter ROCKstar phase 2 study (clinical study identifier: NCT03640481), which demonstrated clinically meaningful and durable responses with Rezurock in patients living with chronic GVHD after stem cell transplant and at least two prior lines of systemic therapy. Treatment was generally well tolerated. Under the conditional marketing authorisation, Sanofi will conduct a new, confirmatory, randomised, controlled study.
The medicine was designated ‘orphan’ (a medicine used in rare diseases) in 2019 for the treatment of graft-versus-host disease. Following this conditional marketing authorisation, the Committee for Orphan Medicinal Products (COMP) of the European Medicines Agency has also formally adopted an opinion on the maintenance of orphan designation.
In addition to the EU, Rezurock is approved in 20 countries, including the US, UK, and Canada for the treatment of patients 12 years and older with chronic GVHD after failure of at least two prior lines of systemic therapy, and in China after failure of one prior line of systemic therapy.
More than 20,000 patients living with chronic GVHD have been treated with Rezurock since its first approval in the US in July 2021.</t>
        </is>
      </c>
      <c r="C20" t="inlineStr">
        <is>
          <t>P1</t>
        </is>
      </c>
      <c r="D20" t="inlineStr">
        <is>
          <t>产品动向</t>
        </is>
      </c>
      <c r="E20" s="2">
        <v>46112</v>
      </c>
      <c r="F20" t="inlineStr">
        <is>
          <t>赛诺菲</t>
        </is>
      </c>
      <c r="G20" t="inlineStr">
        <is>
          <t>药企</t>
        </is>
      </c>
      <c r="H20" t="inlineStr">
        <is>
          <t>🌟🌟</t>
        </is>
      </c>
      <c r="I20" t="inlineStr">
        <is>
          <t>新药审批</t>
        </is>
      </c>
      <c r="J20" t="inlineStr">
        <is>
          <t>于小迪</t>
        </is>
      </c>
      <c r="K20" t="inlineStr">
        <is>
          <t>4月</t>
        </is>
      </c>
      <c r="L20" s="3" t="str">
        <f>=HYPERLINK("https://www.sanofi.com/en/media-room/press-releases/2026/2026-03-31-05-00-00-3265145", "https://www.sanofi.com/en/media-room/press-releases/2026/2026-03-31-05-00-00-3265145")</f>
        <v>https://www.sanofi.com/en/media-room/press-releases/2026/2026-03-31-05-00-00-3265145</v>
      </c>
      <c r="M20" t="inlineStr">
        <is>
          <t>2026-03-31-05-00-00-3265145-en.pdf</t>
        </is>
      </c>
      <c r="N20"/>
      <c r="O20"/>
    </row>
    <row r="21" ht="25.5" customHeight="1">
      <c r="A21" t="inlineStr">
        <is>
          <t>Wegovy® HD (semaglutide 7.2 mg) approved in the US, providing 20.7% mean weight loss</t>
        </is>
      </c>
      <c r="B21" t="inlineStr">
        <is>
          <t>Bagsværd, Denmark, 19 March 2026 – Novo Nordisk today announced that the US Food and Drug Administration (FDA) has approved Wegovy® HD (once-weekly injectable semaglutide 7.2 mg) to reduce excess body weight and maintain weight reduction long-term. The FDA awarded a Commissioner’s National Priority Voucher for Wegovy® HD, accelerating its review and underscoring its potential to address critical patient needs and national health priorities in the US.
The accelerated approval is based on results from the STEP UP trial programme. In the STEP UP trial, semaglutide 7.2 mg injected once weekly demonstrated 20.7%1 mean weight loss in participants with obesity, and approximately one in three people experienced 25% or greater weight loss. In the STEP UP type 2 diabetes (T2D) trial, in participants with obesity and type 2 diabetes, semaglutide 7.2 mg demonstrated a mean weight loss of 14.1%1. In both trials, the well-known safety and tolerability profile of semaglutide was reaffirmed with semaglutide 7.2 mg, which was comparable to previous trials with semaglutide for weight management.
“Since its launch in 2021, Wegovy® has transformed the lives of many people living with obesity and helped them achieve meaningful weight loss and important cardiometabolic benefits, including an unprecedented reduction in cardiovascular risk,” said Mike Doustdar, president and CEO of Novo Nordisk. “Earlier this year, we launched the Wegovy® pill, and with the accelerated approval of Wegovy® HD, we are introducing a new offering for our injectable semaglutide that provides even greater weight loss of approximately 21%. At Novo Nordisk, our goal is to provide innovative therapies that support healthier lives for people living with obesity, and we look forward to launching Wegovy® HD to help even more people reach their weight and health goals.”
Novo Nordisk expects to launch Wegovy® HD in a single-dose pen in the US in April 2026.
Wegovy® 7.2 mg is already approved for adults with obesity in the EU and the UK. Novo Nordisk expects regulatory decisions in the EU and the UK on semaglutide 7.2 mg in a single-dose pen in the second half of 2026.</t>
        </is>
      </c>
      <c r="C21" t="inlineStr">
        <is>
          <t>P1</t>
        </is>
      </c>
      <c r="D21" t="inlineStr">
        <is>
          <t>产品动向</t>
        </is>
      </c>
      <c r="E21" s="2">
        <v>46100</v>
      </c>
      <c r="F21" t="inlineStr">
        <is>
          <t>诺和诺德</t>
        </is>
      </c>
      <c r="G21" t="inlineStr">
        <is>
          <t>药企</t>
        </is>
      </c>
      <c r="H21" t="inlineStr">
        <is>
          <t>🌟🌟</t>
        </is>
      </c>
      <c r="I21" t="inlineStr">
        <is>
          <t>新药审批, GLP-1</t>
        </is>
      </c>
      <c r="J21" t="inlineStr">
        <is>
          <t>于小迪</t>
        </is>
      </c>
      <c r="K21" t="inlineStr">
        <is>
          <t>4月</t>
        </is>
      </c>
      <c r="L21" s="3" t="str">
        <f>=HYPERLINK("https://www.novonordisk.com/content/nncorp/global/en/news-and-media/news-and-ir-materials/news-details.html?id=916516", "https://www.novonordisk.com/content/nncorp/global/en/news-and-media/news-and-ir-materials/news-details.html?id=916516")</f>
        <v>https://www.novonordisk.com/content/nncorp/global/en/news-and-media/news-and-ir-materials/news-details.html?id=916516</v>
      </c>
      <c r="M21" t="inlineStr">
        <is>
          <t>ca260319-wegovy-hd-fda-approval.pdf</t>
        </is>
      </c>
      <c r="N21"/>
      <c r="O21"/>
    </row>
    <row r="22" ht="25.5" customHeight="1">
      <c r="A22" t="inlineStr">
        <is>
          <t>Lilly's EBGLYSS (lebrikizumab-lbkz) delivered up to four years of durable disease control for patients with moderate-to-severe atopic dermatitis</t>
        </is>
      </c>
      <c r="B22" t="inlineStr">
        <is>
          <t>On March 27, 2026, Eli Lilly announced long-term data from the Phase 3b ADlong study showing that EBGLYSS (lebrikizumab-lbkz) delivered durable skin clearance and itch relief for up to four years in patients with moderate-to-severe atopic dermatitis. In this open-label extension study with once-monthly maintenance dosing, 174 patients achieved 94% EASI-75 response, 75% EASI-90 (near-complete skin clearance), and 78% significant itch relief (Pruritus NRS ≤4) after up to four years of continuous treatment. Eighty percent maintained outcomes without topical corticosteroids, and 77% were on EBGLYSS monotherapy. First-year safety data were consistent with the known safety profile with no new signals observed. Results were presented at the 2026 American Academy of Dermatology Annual Meeting. EBGLYSS, an IL-13 inhibitor, was approved in the U.S., EU, Japan, and Canada in 2023-2024.</t>
        </is>
      </c>
      <c r="C22" t="inlineStr">
        <is>
          <t>P1</t>
        </is>
      </c>
      <c r="D22" t="inlineStr">
        <is>
          <t>产品动向</t>
        </is>
      </c>
      <c r="E22" s="2">
        <v>46108</v>
      </c>
      <c r="F22" t="inlineStr">
        <is>
          <t>礼来</t>
        </is>
      </c>
      <c r="G22" t="inlineStr">
        <is>
          <t>药企</t>
        </is>
      </c>
      <c r="H22"/>
      <c r="I22" t="inlineStr">
        <is>
          <t>免疫, 新药审批</t>
        </is>
      </c>
      <c r="J22" t="inlineStr">
        <is>
          <t>朱伊</t>
        </is>
      </c>
      <c r="K22" t="inlineStr">
        <is>
          <t>4月</t>
        </is>
      </c>
      <c r="L22" s="3" t="str">
        <f>=HYPERLINK("https://investor.lilly.com/news-releases/news-release-details/lillys-ebglyss-lebrikizumab-lbkz-delivered-four-years-durable", "https://investor.lilly.com/news-releases/news-release-details/lillys-ebglyss-lebrikizumab-lbkz-delivered-four-years-durable")</f>
        <v>https://investor.lilly.com/news-releases/news-release-details/lillys-ebglyss-lebrikizumab-lbkz-delivered-four-years-durable</v>
      </c>
      <c r="M22" t="inlineStr">
        <is>
          <t>Lilly's EBGLYSS (lebrikizumab-lbkz) delivered up to four years of durable disease control for patients with moderate-to-severe atopic dermatitis.pdf</t>
        </is>
      </c>
      <c r="N22"/>
      <c r="O22"/>
    </row>
    <row r="23" ht="25.5" customHeight="1">
      <c r="A23" t="inlineStr">
        <is>
          <t>Pfizer and Valneva Announce Lyme Disease Vaccine Candidate Demonstrates Strong Efficacy in Phase 3 VALOR Trial</t>
        </is>
      </c>
      <c r="B23" t="inlineStr">
        <is>
          <t>Pfizer and Valneva announced on March 23, 2026, that their investigational 6-valent OspA-based Lyme disease vaccine candidate PF-07307405 demonstrated strong efficacy in the Phase 3 VALOR trial, with an efficacy of 73.2% in reducing confirmed Lyme disease cases from 28 days post-dose 4 in season 2. The vaccine candidate was well tolerated with no new safety concerns identified. Although the pre-specified statistical criterion for the primary endpoint was not met due to fewer than anticipated cases accrued, Pfizer is confident in the vaccine's potential and plans to proceed with regulatory submissions based on the clinically meaningful efficacy data.</t>
        </is>
      </c>
      <c r="C23" t="inlineStr">
        <is>
          <t>P1</t>
        </is>
      </c>
      <c r="D23" t="inlineStr">
        <is>
          <t>产品动向</t>
        </is>
      </c>
      <c r="E23" s="2">
        <v>46104</v>
      </c>
      <c r="F23" t="inlineStr">
        <is>
          <t>辉瑞</t>
        </is>
      </c>
      <c r="G23" t="inlineStr">
        <is>
          <t>药企</t>
        </is>
      </c>
      <c r="H23"/>
      <c r="I23" t="inlineStr">
        <is>
          <t>新药审批</t>
        </is>
      </c>
      <c r="J23" t="inlineStr">
        <is>
          <t>朱伊</t>
        </is>
      </c>
      <c r="K23" t="inlineStr">
        <is>
          <t>4月</t>
        </is>
      </c>
      <c r="L23" s="3" t="str">
        <f>=HYPERLINK("https://www.pfizer.com/news/press-release/press-release-detail/pfizer-and-valneva-announce-lyme-disease-vaccine-candidate", "https://www.pfizer.com/news/press-release/press-release-detail/pfizer-and-valneva-announce-lyme-disease-vaccine-candidate")</f>
        <v>https://www.pfizer.com/news/press-release/press-release-detail/pfizer-and-valneva-announce-lyme-disease-vaccine-candidate</v>
      </c>
      <c r="M23" t="inlineStr">
        <is>
          <t>Pfizer and Valneva Announce Lyme Disease Vaccine Candidate Demonstrates Strong Efficacy in Phase 3 VALOR Trial.pdf</t>
        </is>
      </c>
      <c r="N23"/>
      <c r="O23"/>
    </row>
    <row r="24" ht="25.5" customHeight="1">
      <c r="A24" t="inlineStr">
        <is>
          <t>TALZENNA Plus XTANDI Significantly Improves Radiographic Progression-Free Survival in Metastatic Prostate Cancer</t>
        </is>
      </c>
      <c r="B24" t="inlineStr">
        <is>
          <t>Pfizer announced on March 19, 2026, that the Phase 3 TALAPRO-3 study met its primary endpoint, demonstrating that TALZENNA plus XTANDI significantly improved radiographic progression-free survival compared to placebo plus XTANDI in patients with HRR gene-mutated metastatic hormone-sensitive prostate cancer, with the hazard ratio markedly exceeding the pre-specified target of 0.63. Consistent efficacy benefits were observed in patients with both BRCA and non-BRCA HRR gene alterations. Overall survival, a key secondary endpoint, showed a strong trend toward improvement. The safety profile was consistent with the known profile of each medicine, with no new safety signals identified. Pfizer plans to discuss these results with global health authorities to potentially expand the TALZENNA indication in this earlier stage of disease.</t>
        </is>
      </c>
      <c r="C24" t="inlineStr">
        <is>
          <t>P1</t>
        </is>
      </c>
      <c r="D24" t="inlineStr">
        <is>
          <t>产品动向</t>
        </is>
      </c>
      <c r="E24" s="2">
        <v>46100</v>
      </c>
      <c r="F24" t="inlineStr">
        <is>
          <t>辉瑞</t>
        </is>
      </c>
      <c r="G24" t="inlineStr">
        <is>
          <t>药企</t>
        </is>
      </c>
      <c r="H24"/>
      <c r="I24" t="inlineStr">
        <is>
          <t>肿瘤, 新药审批</t>
        </is>
      </c>
      <c r="J24" t="inlineStr">
        <is>
          <t>朱伊</t>
        </is>
      </c>
      <c r="K24" t="inlineStr">
        <is>
          <t>4月</t>
        </is>
      </c>
      <c r="L24" s="3" t="str">
        <f>=HYPERLINK("https://www.pfizer.com/news/press-release/press-release-detail/talzenna-plus-xtandi-significantly-improves-radiographic", "https://www.pfizer.com/news/press-release/press-release-detail/talzenna-plus-xtandi-significantly-improves-radiographic")</f>
        <v>https://www.pfizer.com/news/press-release/press-release-detail/talzenna-plus-xtandi-significantly-improves-radiographic</v>
      </c>
      <c r="M24" t="inlineStr">
        <is>
          <t>TALZENNA Plus XTANDI Significantly Improves Radiographic ProgressionFree Survival in Metastatic Prostate Cancer.pdf</t>
        </is>
      </c>
      <c r="N24"/>
      <c r="O24"/>
    </row>
    <row r="25" ht="25.5" customHeight="1">
      <c r="A25" t="inlineStr">
        <is>
          <t>New treatment for relapsed extensive-stage small cell lung cancer</t>
        </is>
      </c>
      <c r="B25" t="inlineStr">
        <is>
          <t>The European Medicines Agency recommended on March 27, 2026, granting a marketing authorisation for Imdyltra as monotherapy for the treatment of adults with extensive-stage small cell lung cancer whose disease has relapsed during or after initial platinum-based chemotherapy. Imdyltra is a bispecific T-cell engager that binds to DLL3 on tumour cells and CD3 on T cells, activating T cells and leading to tumour cell death. A Phase 3 study showed a median overall survival of 13.6 months in patients treated with Imdyltra compared to 8.3 months with standard of care, representing a 40% reduction in the risk of death. The most common and serious side effects are cytokine release syndrome and immune effector cell-associated neurotoxicity syndrome.</t>
        </is>
      </c>
      <c r="C25" t="inlineStr">
        <is>
          <t>P1</t>
        </is>
      </c>
      <c r="D25" t="inlineStr">
        <is>
          <t>产品动向</t>
        </is>
      </c>
      <c r="E25" s="2">
        <v>46108</v>
      </c>
      <c r="F25" t="inlineStr">
        <is>
          <t>EMA</t>
        </is>
      </c>
      <c r="G25" t="inlineStr">
        <is>
          <t>政府监管</t>
        </is>
      </c>
      <c r="H25"/>
      <c r="I25" t="inlineStr">
        <is>
          <t>肿瘤, 新药审批</t>
        </is>
      </c>
      <c r="J25" t="inlineStr">
        <is>
          <t>朱伊</t>
        </is>
      </c>
      <c r="K25" t="inlineStr">
        <is>
          <t>4月</t>
        </is>
      </c>
      <c r="L25" s="3" t="str">
        <f>=HYPERLINK("https://www.ema.europa.eu/en/news/new-treatment-relapsed-extensive-stage-small-cell-lung-cancer", "https://www.ema.europa.eu/en/news/new-treatment-relapsed-extensive-stage-small-cell-lung-cancer")</f>
        <v>https://www.ema.europa.eu/en/news/new-treatment-relapsed-extensive-stage-small-cell-lung-cancer</v>
      </c>
      <c r="M25" t="inlineStr">
        <is>
          <t>New treatment for relapsed extensive-st...ncer _ European Medicines Agency (EMA).pdf</t>
        </is>
      </c>
      <c r="N25"/>
      <c r="O25"/>
    </row>
    <row r="26" ht="25.5" customHeight="1">
      <c r="A26" t="inlineStr">
        <is>
          <t>New treatment for relapsed extensive-stage small cell lung cancer</t>
        </is>
      </c>
      <c r="B26" t="inlineStr">
        <is>
          <t>EMA has recommended granting a marketing authorisation in the European Union (EU) for Imdylltra (tarlatamab) as monotherapy to treat adults with extensive-stage small cell lung cancer (ES-SCLC) whose disease relapsed during or after an initial treatment with platinum-based chemotherapy.</t>
        </is>
      </c>
      <c r="C26" t="inlineStr">
        <is>
          <t>P1</t>
        </is>
      </c>
      <c r="D26" t="inlineStr">
        <is>
          <t>产品动向</t>
        </is>
      </c>
      <c r="E26" s="2"/>
      <c r="F26"/>
      <c r="G26"/>
      <c r="H26"/>
      <c r="I26"/>
      <c r="J26"/>
      <c r="K26" t="inlineStr">
        <is>
          <t>4月</t>
        </is>
      </c>
      <c r="L26" s="3"/>
      <c r="M26"/>
      <c r="N26"/>
      <c r="O26"/>
    </row>
    <row r="27" ht="25.5" customHeight="1">
      <c r="A27" t="inlineStr">
        <is>
          <t>MHRA approves deuruxolitinib (Leqselvi) to treat severe alopecia areata in adults</t>
        </is>
      </c>
      <c r="B27" t="inlineStr">
        <is>
          <t xml:space="preserve">The Medicines and Healthcare products Regulatory Agency (MHRA) has approved deuruxolitinib (Leqselvi) to treat severe alopecia areata in adults. 
Alopecia areata is a disease where the body’s own immune system attacks hair follicles, causing inflammation that leads to hair loss on the scalp, face and/or other parts of the body. </t>
        </is>
      </c>
      <c r="C27" t="inlineStr">
        <is>
          <t>P1</t>
        </is>
      </c>
      <c r="D27" t="inlineStr">
        <is>
          <t>产品动向</t>
        </is>
      </c>
      <c r="E27" s="2">
        <v>46093</v>
      </c>
      <c r="F27" t="inlineStr">
        <is>
          <t>英国MHRA</t>
        </is>
      </c>
      <c r="G27" t="inlineStr">
        <is>
          <t>政府监管</t>
        </is>
      </c>
      <c r="H27"/>
      <c r="I27" t="inlineStr">
        <is>
          <t>新药审批</t>
        </is>
      </c>
      <c r="J27" t="inlineStr">
        <is>
          <t>朱伊</t>
        </is>
      </c>
      <c r="K27" t="inlineStr">
        <is>
          <t>4月</t>
        </is>
      </c>
      <c r="L27" s="3" t="str">
        <f>=HYPERLINK("https://www.gov.uk/government/news/mhra-approves-deuruxolitinib-leqselvi-to-treat-severe-alopecia-areata-in-adults", "https://www.gov.uk/government/news/mhra-approves-deuruxolitinib-leqselvi-to-treat-severe-alopecia-areata-in-adults")</f>
        <v>https://www.gov.uk/government/news/mhra-approves-deuruxolitinib-leqselvi-to-treat-severe-alopecia-areata-in-adults</v>
      </c>
      <c r="M27" t="inlineStr">
        <is>
          <t>MHRA approves deuruxolitinib (Leqselvi) to treat severe alopecia areata in adults.pdf</t>
        </is>
      </c>
      <c r="N27"/>
      <c r="O27"/>
    </row>
    <row r="28" ht="25.5" customHeight="1">
      <c r="A28" t="inlineStr">
        <is>
          <t>AbbVie Announces Positive Topline Results from Phase 3 AFFIRM Study Evaluating SKYRIZI® (Risankizumab) Subcutaneous Induction in Patients with Crohn's Disease</t>
        </is>
      </c>
      <c r="B28" t="inlineStr">
        <is>
          <t>In the Phase 3 AFFIRM study in adults with moderately to severely active Crohn's disease, risankizumab (SKYRIZI®) achieved superiority for the co-primary and ranked secondary endpoints at week 12 for induction delivered by subcutaneous (SC) injection versus placebo1
These data support strong efficacy of risankizumab in Crohn's disease while providing potential for an induction choice for patients1
The safety profile of risankizumab SC induction was consistent with its known profile in Crohn's disease, with no new safety risks observed1
NORTH CHICAGO, Ill., March 2, 2026 /PRNewswire/ -- AbbVie (NYSE: ABBV) today announced positive topline results from the Phase 3, randomized, placebo-controlled, double-blind AFFIRM study evaluating the efficacy and safety of risankizumab (SKYRIZI®) subcutaneous (SC) induction treatment versus placebo in adult patients with moderately to severely active Crohn's disease (CD).1
The AFFIRM study results show significantly greater proportions of patients treated with risankizumab SC induction achieved the co-primary endpoints of Crohn's Disease Activity Index (CDAI) clinical remissiona (55% vs. 30%; p&lt;0.0001) and endoscopic responseb (44% vs. 14%; p&lt;0.0001) at week 12 compared to placebo.1 Among patients with clinical responsec after 12 weeks of risankizumab SC induction treatment followed by 12 weeks of maintenance, 67% achieved CDAI clinical remission at week 24 and 57% achieved endoscopic response at week 24.1
This Phase 3 study enrolled a predominantly treatment-refractory population** (65%) with 50% of those patients having failed two or more advanced therapies and 23% having failed ustekinumab and 12% having failed a Janus kinase inhibitor (JAKi).1
"This study evaluated a difficult-to-treat Crohn's disease patient population, including a majority with a prior failure to advanced therapy, and these data reinforce risankizumab as a leading, effective treatment for patients," said Kori Wallace, M.D., Ph.D., vice president, global head of immunology clinical development, AbbVie. "The level of endoscopic response is a particularly meaningful achievement for Crohn's disease patients; and for AbbVie, these results underscore our continued innovation and research to raise the standard of care."
AFFIRM Phase 3 Co-Primary Endpoints Results at Week 12
Overall Population 
(N=289)
Advanced Therapy Naïve* 
(N=100)
Prior Advanced
Therapy Failure** 
(N=189)
Proportion
of patients
PBO
RZB SC
PBO
RZB SC
PBO
RZB SC
CDAI
Clinical
Remissiona
29.6 %
55 %
27.3 %
73.1 %
30.8 %
45.2 %
Endoscopic
Responseb
14.3 %
44 %
15.2 %
61.2 %
13.8 %
34.7 %
RZB= risankizumab; PBO=placebo
*
Defined as patients without prior advanced therapy failure.1
**
Defined as patients with prior failure to at least one advanced therapy for CD.1
a
Defined as Crohn's Disease Activity Index (CDAI) &lt;150 at week 12.1
b
Defined as decrease in Simple Endoscopic Score for Crohn's disease (SES-CD) &gt;50% from baseline or for patients with isolated ileal disease and a baseline SES-CD of 4, at least a 2-point reduction from baseline, as scored by blinded central reviewer at week 12.1
c
Defined as at least a 100-point reduction from baseline in CDAI.1
"Crohn's disease is a complex, often debilitating condition that affects far more than a patient's digestive health, disrupting work, relationships and daily life," said Millie D. Long, M.D., MPH, chief, Division of Gastroenterology and Hepatology, University of North Carolina, Chapel Hill, and lead investigator of the AFFIRM study. "These high endoscopic response rates across populations, in particular among those who have not failed an advanced therapy, demonstrate the potential of subcutaneous induction risankizumab as an effective therapy for Crohn's disease."
During the 12-week, double-blind, placebo-controlled period, the safety profile of risankizumab SC was consistent with the safety profile observed in Crohn's disease with no new safety risks observed. The most common adverse events observed among patients receiving risankizumab were upper respiratory tract infection, abdominal pain and arthralgia. Serious adverse events occurred in 0.5% of patients in the risankizumab SC group compared to 3.1% in the placebo group.1
Full results will be published in an upcoming medical journal and shared at future medical congresses.
About Crohn's Disease
Crohn's disease is a chronic, systemic disease that manifests as inflammation within the gastrointestinal tract, most commonly in the area between the small intestine (ileum) and the colon, causing persistent diarrhea and abdominal pain.2,3 It is a progressive disease, meaning it gets worse over time and may lead to life-threatening complications or surgery.4,5 Because the signs and symptoms of Crohn's disease are unpredictable, it causes a significant burden on people living with the disease—not only physically but also emotionally and economically.6
About the AFFIRM Study1 
AFFIRM is a global, Phase 3, randomized, placebo-controlled, double-blind study to evaluate the efficacy and safety of risankizumab subcutaneous (SC) as an induction treatment in adult patients with moderately to severely active Crohn's disease. Co-primary endpoints were percentage of participants with CDAI Clinical Remission (CDAI &lt; 150) and percentage of participants with endoscopic response at week 12. A total of 289 patients were randomized in a 2:1 ratio to risankizumab SC or placebo. Key demographics and baseline characteristics were generally balanced between the risankizumab SC and placebo groups; 65% had failed advanced therapies for the treatment of CD before. The study consists of three treatment periods: a placebo-controlled Period A (baseline to week 12) to evaluate the efficacy and safety of risankizumab SC induction treatment, an extended Period B (week 12 to 24) where patients receive blinded or open-label treatments based on their clinical response at week 12, and a 52-week open-label extension Period C where all patients receive the approved risankizumab maintenance treatment.1 More information on this trial can be found at www.clinicaltrials.gov (NCT06063967).7
About SKYRIZI® (risankizumab)
SKYRIZI is an interleukin (IL)-23 inhibitor that selectively blocks IL-23 by binding to its p19 subunit. IL-23, a cytokine involved in inflammatory processes, is thought to be linked to a number of chronic immune-mediated diseases.8 SKYRIZI is approved by the U.S. Food and Drug Administration and the European Medicines Agency for the treatment of plaque psoriasis, psoriatic arthritis, Crohn's disease and ulcerative colitis.8,9
SKYRIZI® (risankizumab-rzaa) U.S. Uses and Important Safety Information8
Indications
SKYRIZI is a prescription medicine used to treat adults with:
moderate to severe plaque psoriasis who may benefit from taking injections or pills (systemic therapy) or treatment using ultraviolet or UV light (phototherapy).
active psoriatic arthritis.
moderate to severe Crohn's disease.
moderate to severe ulcerative colitis.
IMPORTANT SAFETY INFORMATION
What is the most important information I should know about SKYRIZI® (risankizumab-rzaa)?
SKYRIZI is a prescription medicine that may cause serious side effects, including:
Serious allergic reactions:
• Stop using SKYRIZI and get emergency medical help right away if you get any of the
   following symptoms of a serious allergic reaction:
• fainting, dizziness, feeling 
  lightheaded (low blood pressure)
• swelling of your face, eyelids, lips, 
  mouth, tongue, or throat
• trouble breathing or throat tightness
• chest tightness
• skin rash, hives
• itching
Infections:
SKYRIZI may lower the ability of your immune system to fight infections and may increase your risk of infections. Your healthcare provider should check for infections and tuberculosis (TB) before starting treatment with SKYRIZI and may treat you for TB before you begin treatment with SKYRIZI if you have a history of TB or have active TB. Your healthcare provider should watch you closely for signs and symptoms of TB during and after treatment with SKYRIZI.
Tell your healthcare provider right away if you have an infection or have symptoms of an infection, including:
–        fever, sweats, or chills              
–        cough      
–        shortness of breath
–        blood in your mucus
          (phlegm)
–        muscle aches
–        warm, red, or painful
          skin or sores on your
          body different from
          your psoriasis                        
–        weight loss
–        diarrhea or stomach
          pain
–        burning when you
          urinate or urinating
          more often than normal
Do not use SKYRIZI if you are allergic to risankizumab-rzaa or any of the ingredients in SKYRIZI. See the Medication Guide or Consumer Brief Summary for a complete list of ingredients.
Before using SKYRIZI, tell your healthcare provider about all of your medical conditions, including if you:
have any of the conditions or symptoms listed in the section "What is the most important information I should know about SKYRIZI?"
have an infection that does not go away or that keeps coming back.
have TB or have been in close contact with someone with TB.
have recently received or are scheduled to receive an immunization (vaccine). Medicines that interact with the immune system may increase your risk of getting an infection after receiving live vaccines. You should avoid receiving live vaccines right before, during, or right after treatment with SKYRIZI. Tell your healthcare provider that you are taking SKYRIZI before receiving a vaccine.
are pregnant or plan to become pregnant. It is not known if SKYRIZI can harm your unborn baby.
are breastfeeding or plan to breastfeed. It is not known if SKYRIZI passes into your breast milk.
become pregnant while taking SKYRIZI. You are encouraged to enroll in the Pregnancy Registry, which is used to collect information about the health of you and your baby. Talk to your healthcare provider or call 1-877-302-2161 to enroll in this registry.
Tell your healthcare provider about all the medicines you take, including prescription and over-the-counter medicines, vitamins, and herbal supplements.
What are the possible side effects of SKYRIZI?
SKYRIZI may cause serious side effects. See "What is the most important information I should know about SKYRIZI?"
Liver problems may happen while being treated for Crohn's disease or ulcerative colitis: A person with Crohn's disease who received SKYRIZI through a vein in the arm developed changes in liver blood tests with a rash that led to hospitalization. Your healthcare provider will do blood tests to check your liver before, during, and at least up to 12 weeks of treatment, and may stop treatment with SKYRIZI if you develop liver problems. Tell your healthcare provider right away if you notice any of the following symptoms: unexplained rash, nausea, vomiting, stomach (abdominal) pain, tiredness (fatigue), loss of appetite, yellowing of the skin and eyes (jaundice), and dark urine.
The most common side effects of SKYRIZI in people treated for Crohn's disease and ulcerative colitis include: upper respiratory infections, headache, joint pain, stomach (abdominal) pain, injection site reactions, low red blood cells (anemia), fever, back pain, urinary tract infection, and rash.
The most common side effects of SKYRIZI in people treated for plaque psoriasis and psoriatic arthritis include: upper respiratory infections, headache, feeling tired, injection site reactions, and fungal skin infections.
These are not all the possible side effects of SKYRIZI. Call your doctor for medical advice about side effects.
Use SKYRIZI exactly as your healthcare provider tells you to use it.
SKYRIZI (risankizumab-rzaa) is available in a 150 mg/mL prefilled syringe and pen, a 600 mg/10 mL vial for intravenous infusion, and a 180 mg/1.2 mL or 360 mg/2.4 mL single-dose prefilled cartridge with on-body injector.
This is the most important information to know about SKYRIZI. For more information, talk to your HCP.
You are encouraged to report negative side effects of prescription drugs to the FDA. Visit www.fda.gov/medwatch or call 1-800-FDA-1088.
If you are having difficulty paying for your medicine, AbbVie may be able to help. Visit AbbVie.com/PatientAccessSupport to learn more. 
Please click here for the Full Prescribing Information and Medication Guide.
Globally, prescribing information varies; refer to the individual country product label for complete information.
About AbbVie</t>
        </is>
      </c>
      <c r="C28" t="inlineStr">
        <is>
          <t>P1</t>
        </is>
      </c>
      <c r="D28" t="inlineStr">
        <is>
          <t>产品动向</t>
        </is>
      </c>
      <c r="E28" s="2">
        <v>46083</v>
      </c>
      <c r="F28" t="inlineStr">
        <is>
          <t>艾伯维</t>
        </is>
      </c>
      <c r="G28" t="inlineStr">
        <is>
          <t>药企</t>
        </is>
      </c>
      <c r="H28"/>
      <c r="I28" t="inlineStr">
        <is>
          <t>免疫</t>
        </is>
      </c>
      <c r="J28" t="inlineStr">
        <is>
          <t>王宇超</t>
        </is>
      </c>
      <c r="K28" t="inlineStr">
        <is>
          <t>4月</t>
        </is>
      </c>
      <c r="L28" s="3" t="str">
        <f>=HYPERLINK("https://news.abbvie.com/2026-03-02-AbbVie-Announces-Positive-Topline-Results-from-Phase-3-AFFIRM-Study-Evaluating-SKYRIZI-R-Risankizumab-Subcutaneous-Induction-in-Patients-with-Crohns-Disease", "https://news.abbvie.com/2026-03-02-AbbVie-Announces-Positive-Topline-Results-from-Phase-3-AFFIRM-Study-Evaluating-SKYRIZI-R-Risankizumab-Subcutaneous-Induction-in-Patients-with-Crohns-Disease")</f>
        <v>https://news.abbvie.com/2026-03-02-AbbVie-Announces-Positive-Topline-Results-from-Phase-3-AFFIRM-Study-Evaluating-SKYRIZI-R-Risankizumab-Subcutaneous-Induction-in-Patients-with-Crohns-Disease</v>
      </c>
      <c r="M28" t="inlineStr">
        <is>
          <t>01.pdf</t>
        </is>
      </c>
      <c r="N28"/>
      <c r="O28"/>
    </row>
    <row r="29" ht="25.5" customHeight="1">
      <c r="A29" t="inlineStr">
        <is>
          <t>Johnson &amp; Johnson therapy nipocalimab granted U.S. FDA Fast Track designation in systemic lupus erythematosus (SLE)</t>
        </is>
      </c>
      <c r="B29" t="inlineStr">
        <is>
          <t>SPRING HOUSE, Pa., (March 3, 2026) – Johnson &amp; Johnson (NYSE: JNJ) today announced that nipocalimaba was granted U.S. Food and Drug Administration (FDA) Fast Track designation as a potential treatment for adults with systemic lupus erythematosus (SLE), a debilitating autoantibody-driven disease that impacts approximately 3 to 5 million people worldwide.1 The U.S. FDA’s Fast Track designation program is designed to expedite the development and review timelines of drugs that demonstrate the potential to treat serious conditions, aiming to deliver therapeutics to patients more quickly in areas, like SLE, where unmet needs remain.2
“Nipocalimab earning its fifth FDA Fast Track designation, now in systemic lupus erythematosus, reflects the importance of accelerating the delivery of an immunoselective therapy that could fill an unmet need in this serious condition,” said Leonard L. Dragone, M.D., Ph.D., Disease Area Leader, Autoantibody and Rheumatology, Johnson &amp; Johnson. “This is an important step in our efforts to help address the ongoing burden faced by people living with this debilitating disease. Through close collaboration with the FDA, we seek to advance the development of nipocalimab as a potential new treatment option for the SLE patient community.”
SLE affects multiple organs including the skin, joints, kidneys, blood and central nervous systems, with associated chronic signs and symptoms including severe fatigue, pain, swelling and rashes.3 Patients are at risk of irreversible organ damage due to systemic inflammation, disease flares and a reliance on steroids.4 These factors can significantly reduce quality of life, which highlights the critical unmet need for additional treatment options. Nipocalimab is an immunoselective investigational therapy that lowers harmful immunoglobulin G (IgG), one of the root causes of autoantibody-driven diseases, while also preserving critical immune functions.
“Systemic lupus erythematosus is a serious, complex disease that affects many aspects of a patient’s life, and treatment options remain limited,” said Richard Furie, M.D., Chief of the Division of Rheumatology at Northwell Health.b “Progress like this brings renewed hope for more targeted therapies and meaningful outcomes for people living with this devastating disease.”
Following the positive Phase 2b JASMINE results, Johnson &amp; Johnson initiated patient enrollment for the Phase 3 GARDENIA study of adults with active SLE. Nipocalimab is the only FcRn blocker to demonstrate reduction in SLE disease activity, as shown in the JASMINE study. The study met the primary endpoint and multiple key secondary and exploratory endpoints, including those indicating the potential of nipocalimab for steroid sparing.5
Editor’s notes:
a. Nipocalimab is not approved in SLE.
b. Dr. Richard Furie has provided consulting, advisory and speaking services to Johnson &amp; Johnson. He has not been paid for any media work.
ABOUT JASMINE
JASMINE (NCT04882878) is a 52-week, multicenter, randomized, double-blind, placebo-controlled, parallel-group, dose-ranging study of nipocalimab in 228 adult participants with active SLE and the first positive study of an FcRn blocker for the treatment of active SLE.5
ABOUT SYSTEMIC LUPUS ERYTHEMATOSUS
Systemic Lupus Erythematosus (SLE) is a chronic autoimmune disease that occurs when the body’s immune system mistakenly attacks its own healthy tissues. This can lead to inflammation and damage in many parts of the body, including the skin, joints, heart, lungs, kidneys, and brain.4 SLE affects nine times more women than men, often striking initially between the ages of 15-44.6 In addition to systemic organ damage, other complications of SLE can include end-stage renal failure, scarring cutaneous lesions, neurological damage, and various forms of cardiovascular disease.4 People living with SLE often face reduced health-related quality of life, due to severe fatigue, mood disturbances, joint pain and swelling, and rashes, including the hallmark butterfly-shaped facial rash, as well as complications of long-term glucocorticoid use.3 Severe fatigue is the most widely reported and debilitating symptom of SLE, affecting up to 80% of people with SLE.7 SLE is the most common form of lupus, affecting 3 to 5 million people worldwide, approximately 70% of lupus cases.1,6 It is estimated that 450,000 people in the United States are affected by SLE.8
ABOUT NIPOCALIMAB
Nipocalimab is an investigational immunoselective treatment designed to target, bind with high affinity, and block FcRn, reducing circulating IgG antibodies that drive disease while also preserving key immune functions. Nipocalimab is being investigated across three key segments in the autoantibody space including Rheumatologic disease, Rare Autoantibody diseases, Maternal Fetal diseases mediated by maternal alloantibodies in whichblockade of IgG binding to FcRn in the placenta is also believed to limit transplacental transfer of maternal alloantibodies to the fetus. 9,10,11,12,13,14,15,16,17,18
The U.S. Food and Drug Administration (FDA) and European Medicines Agency (EMA) have granted several key designations to nipocalimab including: 
EU EMA Orphan medicinal product designation for hemolytic disease of the fetus and newborn (HDFN) in October 2019 and fetal and neonatal alloimmune thrombocytopenia (FNAIT) in April 2025
U.S. FDA Fast Track designation in HDFN and warm autoimmune hemolytic anemia (wAIHA) in July 2019, gMG in December 2021, FNAIT in March 2024, Sjögren’s disease (SjD) in March 2025, and systemic lupus erythematosus (SLE) in January 2026
U.S. FDA Orphan drug status for wAIHA in December 2019, HDFN in June 2020, gMG in February 2021, chronic inflammatory demyelinating polyneuropathy (CIDP) in October 2021 and FNAIT in December 2023
U.S. FDA Breakthrough Therapy designation for HDFN in February 2024 and for SjD in November 2024
U.S. FDA granted Priority Review in generalized myasthenia gravis in Q4 2024</t>
        </is>
      </c>
      <c r="C29" t="inlineStr">
        <is>
          <t>P1</t>
        </is>
      </c>
      <c r="D29" t="inlineStr">
        <is>
          <t>产品动向</t>
        </is>
      </c>
      <c r="E29" s="2">
        <v>46084</v>
      </c>
      <c r="F29" t="inlineStr">
        <is>
          <t>强生</t>
        </is>
      </c>
      <c r="G29" t="inlineStr">
        <is>
          <t>药企</t>
        </is>
      </c>
      <c r="H29"/>
      <c r="I29" t="inlineStr">
        <is>
          <t>新药审批</t>
        </is>
      </c>
      <c r="J29" t="inlineStr">
        <is>
          <t>王宇超</t>
        </is>
      </c>
      <c r="K29" t="inlineStr">
        <is>
          <t>4月</t>
        </is>
      </c>
      <c r="L29" s="3" t="str">
        <f>=HYPERLINK("https://www.jnj.com/media-center/press-releases/johnson-johnson-therapy-nipocalimab-granted-u-s-fda-fast-track-designation-in-systemic-lupus-erythematosus-sle", "https://www.jnj.com/media-center/press-releases/johnson-johnson-therapy-nipocalimab-granted-u-s-fda-fast-track-designation-in-systemic-lupus-erythematosus-sle")</f>
        <v>https://www.jnj.com/media-center/press-releases/johnson-johnson-therapy-nipocalimab-granted-u-s-fda-fast-track-designation-in-systemic-lupus-erythematosus-sle</v>
      </c>
      <c r="M29" t="inlineStr">
        <is>
          <t>06.pdf</t>
        </is>
      </c>
      <c r="N29"/>
      <c r="O29"/>
    </row>
    <row r="30" ht="25.5" customHeight="1">
      <c r="A30" t="inlineStr">
        <is>
          <t>European Commission approves AKEEGA (niraparib and abiraterone acetate dual action tablet) for the treatment of patients with BRCA1/2-mutated metastatic hormone-sensitive prostate cancer (mHSPC)®</t>
        </is>
      </c>
      <c r="B30" t="inlineStr">
        <is>
          <t>BEERSE, BELGIUM (9 March 2026) – Johnson &amp; Johnson today announced that the European Commission (EC) has approved an indication extension for AKEEGA (niraparib and abiraterone acetate dual action tablet) with prednisone or prednisolone (AAP) in combination with androgen deprivation therapy (ADT), for the treatment of patients with metastatic hormone-sensitive prostate cancer (mHSPC) and BRCA1/2 mutations (germline and/or somatic).®
“Patients with BRCA-mutated metastatic prostate cancer often experience rapid progression on the current standard of care, highlighting a significant unmet need for more personalised treatment approaches that address the underlying biology of their disease,” said Dr. Elena Castro, Medical Oncologist, Hospital 12 de Octubre, Madrid* “Today’s approval of niraparib in combination with abiraterone acetate introduces a new precision-based treatment option for these patients, with the potential to delay progression.”
AMPLITUDE efficacy results
The approval is supported by data from the Phase 3 AMPLITUDE study, which evaluated the efficacy and safety of the niraparib/AAP combination compared with placebo plus AAP in 696 patients with mHSPC and homologous recombination repair (HRR) gene alterations.1 The primary analysis of the study demonstrated clinically meaningful and statistically significant improvements in its primary endpoint of radiographic progression-free survival (rPFS).1 Patients with BRCA1/2 mutations showed the greatest benefit of treatment with the niraparib/AAP combination (n=191), as after 30.7 months of follow-up, the median rPFS was not yet reached compared to 26 months in patients treated with the placebo plus AAP (n=196), corresponding to a reduction in the risk of radiographic progression or death by 48 percent (hazard ratio [HR] 0.52, 95 percent confidence interval [CI], 0.37-0.72, p&lt;0.0001).1,3 Treatment with the niraparib/AAP combination also significantly prolonged the time to symptomatic progression in patients with BRCA mutations (HR 0.44, 95 percent CI, 0.29-0.68, p=0.0001).1 The second interim analysis of overall survival was consistent with the first interim analysis and favoured the niraparib/AAP combination, with a 20 percent reduction in risk of death (HR 0.80, 95 percent CI, 0.58-1.11) in patients with BRCA mutations.3 Follow-up is ongoing.4
“This expanded indication for niraparib and abiraterone acetate reflects our commitment to delivering transformative innovation across the prostate cancer continuum,” said Charles Drake, M.D., Ph.D., FAAP, Vice President, Prostate Cancer and Immunotherapy Disease Area Leader, Johnson &amp; Johnson. “Niraparib and abiraterone acetate is the first precision-medicine combination treatment approved for patients with BRCA1/2-mutated metastatic hormone-sensitive prostate cancer and is supported by strong clinical data demonstrating a clinically meaningful delay in disease progression.”
AMPLITUDE safety results
The safety profile of the niraparib/AAP combination in mHSPC was consistent with that observed in metastatic castration-resistant prostate cancer (mCRPC), for which the niraparib/AAP combination is already authorised.1,5 The most common Grade 3/4 adverse events (AEs) with the niraparib/AAP combination were anaemia and hypertension; however, treatment discontinuations due to AEs remained low and adverse events were managed with dose modifications and supportive care.1
Data from the AMPLITUDE study were presented at the 2025 American Society of Clinical Oncology (ASCO) Annual Meeting and selected for inclusion in the Best of ASCO and ASCO Press Programme.6
“Today’s EC approval shifts the treatment paradigm and brings new hope to those facing a metastatic prostate cancer diagnosis,” said Henar Hevia, Ph.D., Senior Director, EMEA Therapeutic Area Head, Oncology, Johnson &amp; Johnson. “By bringing niraparib and abiraterone acetate earlier into the treatment pathway, in the hormone-sensitive setting, we can intervene at a point where it may have the greatest impact in helping change the trajectory of the disease for patients with BRCA1/2-mutated tumours.”
About AMPLITUDE
AMPLITUDE (NCT04497844) is an ongoing, Phase 3, randomised, double-blind, placebo-controlled, international, multicentre study evaluating the efficacy and safety of niraparib and abiraterone acetate in a dual action tablet (DAT) formulation with prednisone plus ADT compared to matching oral placebo/abiraterone acetate in a DAT formulation with prednisone plus ADT in patients with deleterious germline or somatic homologous recombination repair (HRR) gene-altered metastatic hormone-sensitive prostate cancer (mHSPC).4 The primary endpoint is radiographic progression-free survival (rPFS).4 The study enrolled 696 participants from 32 countries.1
About Niraparib and Abiraterone Acetate
This orally administered, DAT consists of a combination of niraparib, a highly selective poly (ADP-ribose) polymerase (PARP) inhibitor, and abiraterone acetate, a CYP17 inhibitor.3,4 Niraparib combined with abiraterone acetate and given with prednisone or prednisolone was authorised in April 2023 in the European Economic Area for the treatment of patients with BRCA-mutated metastatic castration-resistant prostate cancer (mCRPC) in whom chemotherapy is not clinically indicated.5 Niraparib and abiraterone acetate is also approved in the USA, Canada, Switzerland, United Kingdom and many more countries. Additional marketing authorisation applications are under review across a number of countries globally.
In April 2016, Janssen Biotech, Inc. entered into a worldwide (except Japan) collaboration and license agreement with TESARO, Inc. (acquired by GSK in 2019), for exclusive rights to niraparib in prostate cancer.7
For a full list of adverse events and information on dosage and administration, contraindications and other precautions when using niraparib and abiraterone acetate, please refer to the Summary of Product Characteristics.3
About Metastatic Hormone-Sensitive Prostate Cancer
Metastatic hormone-sensitive prostate cancer, also known as metastatic castration-sensitive prostate cancer (mCSPC), refers to prostate cancer that still responds to ADT and has spread to other parts of the body.8</t>
        </is>
      </c>
      <c r="C30" t="inlineStr">
        <is>
          <t>P1</t>
        </is>
      </c>
      <c r="D30" t="inlineStr">
        <is>
          <t>产品动向</t>
        </is>
      </c>
      <c r="E30" s="2">
        <v>46090</v>
      </c>
      <c r="F30" t="inlineStr">
        <is>
          <t>强生</t>
        </is>
      </c>
      <c r="G30" t="inlineStr">
        <is>
          <t>药企</t>
        </is>
      </c>
      <c r="H30"/>
      <c r="I30" t="inlineStr">
        <is>
          <t>新药审批</t>
        </is>
      </c>
      <c r="J30" t="inlineStr">
        <is>
          <t>王宇超</t>
        </is>
      </c>
      <c r="K30" t="inlineStr">
        <is>
          <t>4月</t>
        </is>
      </c>
      <c r="L30" s="3" t="str">
        <f>=HYPERLINK("https://www.jnj.com/media-center/press-releases/european-commission-approves-akeega-niraparib-and-abiraterone-acetate-dual-action-tablet-for-the-treatment-of-patients-with-brca1-2-mutated-metastatic-hormone-sensitive-prostate-cancer-mhspc", "https://www.jnj.com/media-center/press-releases/european-commission-approves-akeega-niraparib-and-abiraterone-acetate-dual-action-tablet-for-the-treatment-of-patients-with-brca1-2-mutated-metastatic-hormone-sensitive-prostate-cancer-mhspc")</f>
        <v>https://www.jnj.com/media-center/press-releases/european-commission-approves-akeega-niraparib-and-abiraterone-acetate-dual-action-tablet-for-the-treatment-of-patients-with-brca1-2-mutated-metastatic-hormone-sensitive-prostate-cancer-mhspc</v>
      </c>
      <c r="M30" t="inlineStr">
        <is>
          <t>08.pdf</t>
        </is>
      </c>
      <c r="N30"/>
      <c r="O30"/>
    </row>
    <row r="31" ht="25.5" customHeight="1">
      <c r="A31" t="inlineStr">
        <is>
          <t>Johnson &amp; Johnson Announces FDA Approval of TECNIS PureSee Intraocular Lens, a Breakthrough Solution for U.S. Cataract Patients</t>
        </is>
      </c>
      <c r="B31" t="inlineStr">
        <is>
          <t>Jacksonville, FL – Johnson &amp; Johnson (NYSE: JNJ) – March 12, 2026 – Johnson &amp; Johnson announced U.S. Food and Drug Administration (FDA) approval of TECNIS PureSee IOL, an extended depth of focus (EDOF) intraocular lens (IOL) intended for use in cataract surgery.1 TECNIS PureSee IOL delivers clarity of vision for patients, with 97% of them reporting no very bothersome visual disturbances.1 TECNIS PureSee IOL will be available for patients in the U.S. later this year.
“Today marks an exciting milestone for people living with cataracts. The approval of the TECNIS PureSee IOL gives surgeons an important new lens option, reflecting our deep commitment to innovation that delivers high patient satisfaction and supports vision solutions tailored to individual lifestyle needs,” said Peter Menziuso, Company Group Chairman, Vision, Johnson &amp; Johnson. “Cataract surgery is often a once-in-a-lifetime opportunity for patients to restore and enhance their vision. With the addition of TECNIS PureSee IOL to our portfolio, we can help even more patients regain not just sight, but the quality, range, and visual performance they expect from a Johnson &amp; Johnson product.”
Cataracts naturally form as the eye ages, making everyday activities such as reading, driving, and recognizing faces more difficult. Cataract surgery is one of the safest and most commonly performed procedures worldwide, offering patients the removal of a clouded natural lens and also the opportunity to enhance their vision.3 In a single procedure, TECNIS PureSee IOL addresses both cataract-related vision loss and the effects of presbyopia,1 which occurs when your eyes gradually lose the ability to see objects clearly up close.4 Currently, an estimated 94 million people aged 50 years and over have moderate-to-severe distance vision impairment or blindness that could be corrected through lens replacement surgery.5
TECNIS PureSee IOL is the first and only U.S. FDA‑approved extended depth of focus (EDOF) IOL with no warning on loss of contrast sensitivity.1* Contrast sensitivity refers to a patient’s ability to distinguish an object from its background, an important part of visual quality, especially in low‑light or foggy conditions. Aspheric monofocal IOLs are widely considered the benchmark for preserving contrast sensitivity, and by maintaining contrast sensitivity comparable to an aspheric monofocal IOL, TECNIS PureSee IOL helps patients experience the visual clarity and confidence they expect, while also benefiting from an extended range of vision.1
TECNIS PureSee IOL is built on the industry‑leading TECNIS platform, combining advanced optics with proprietary material. It mitigates the effects of presbyopia by providing extended depth of focus, enabling excellent distance and intermediate vision, with some near vision.1** TECNIS PureSee IOL reduces patients’ reliance on glasses following surgery, with 97% of patients reporting no very bothersome visual disturbances.1,2
TECNIS PureSee IOL expands Johnson &amp; Johnson’s surgical vision portfolio, which is backed by 25 years of innovation in intraocular lens technology. Each year, millions of patients worldwide receive TECNIS lenses as part of their cataract surgery.⁶ The TECNIS portfolio includes TECNIS PureSee IOL, a purely refractive EDOF IOL;1 TECNIS Odyssey IOL, a Full Visual Range (FVR) IOL;⁷ and TECNIS Eyhance IOL, the first monofocal IOL designed to slightly extend depth of focus.⁸
TECNIS PureSee IOL is approved globally, and nearly half a million eyes worldwide have already experienced clearer, uninterrupted vision with TECNIS PureSee IOL after cataract surgery.1,9
For more patient information and tools please visit www.clearvisionforyou.com. Visit us at jnjvisionpro.com/en-us/ and follow Johnson &amp; Johnson | Vision on LinkedIn.
INDICATIONS and IMPORTANT SAFETY INFORMATION for TECNIS PureSee™ IOL and TECNIS PureSee™ Toric II IOLs with TECNIS SIMPLICITY™ Delivery System
Rx Only
INDICATIONS FOR USE
The TECNIS SIMPLICITY™ Delivery System is used to fold and assist in inserting the TECNIS PureSee™ IOL, which is indicated for primary implantation for the visual correction of aphakia in adult patients with less than 1 diopter of pre-existing corneal astigmatism in whom a cataractous lens has been removed. The lens mitigates the effects of presbyopia by providing an extended depth of focus. Compared to an aspheric monofocal IOL, the TECNIS PureSee™ IOL provides improved intermediate visual acuity, while maintaining comparable distance visual acuity. The lens is intended for capsular bag placement only.
The TECNIS SIMPLICITY™ Delivery System is used to fold and assist in inserting the TECNIS PureSee™ Toric II IOLs, which are indicated for primary implantation for the visual correction of aphakia and for reduction of refractive astigmatism in adult patients with greater than or equal to 1 diopter of preoperative corneal astigmatism in whom a cataractous lens has been removed. The lenses mitigate the effects of presbyopia by providing an extended depth of focus. Compared to an aspheric monofocal IOL, the TECNIS PureSee™ Toric II IOLs provide improved intermediate visual acuity, while maintaining comparable distance visual acuity. The lenses are intended for capsular bag placement only.
WARNINGS
1. Physicians should weigh the potential benefit/risk ratio of IOL implantation in patients with any of the conditions listed below, as intraocular lenses may exacerbate an existing condition or may pose an unreasonable risk to the eyesight of patients. The following conditions are not specific to the design of the IOL and are attributed to cataract surgery and/or IOL implantation in general:
a. Recurrent severe anterior or posterior segment inflammation of unknown etiology
b. Posterior segment diseases of which monitoring or treatment ability may be limited by an intraocular lens
c. Surgical difficulties at the time of cataract extraction and/or intraocular lens implantation that might increase the potential for complications (e.g., persistent bleeding, significant iris damage, uncontrolled positive pressure, or significant vitreous prolapse or loss)
d. Compromised posterior capsule or zonules due to previous trauma or developmental defect in which appropriate support of the IOL is not possible
e. Risk of damage to the endothelium during implantation
f. Suspected microbial infection
g. Congenital bilateral cataracts
h. Previous history of, or a predisposition to, retinal detachment
i. Potentially good vision in only one eye
j. Medically uncontrollable glaucoma
k. Corneal endothelial dystrophy
l. Proliferative diabetic retinopathy
2. Rotation of the toric lens away from its intended axis can reduce its astigmatic correction. Misalignment greater than 30° may increase postoperative refractive cylinder. If necessary, lens repositioning should occur as early as possible prior to lens encapsulation.
3. Do not attempt to disassemble, modify or alter the delivery system or any of its components, as this can significantly affect the function and/or structural integrity of the design.
4. Do not use if the cartridge of the delivery system is cracked or split prior to implantation.
5. Do not implant the lens if the rod tip does not advance the lens or if it is jammed in the delivery system.
6. Do not stop, reverse or advance the plunger too slowly (for example more than 1 second) during initial lens advancement. Doing so may result in improper folding of the lens.
7. Do not advance the lens from the Holding Position prior to fully hydrating the system. A minimum of 1 minute at the Holding Position is required to fully hydrate the system to prevent sticking and a potential scratch or crack to the lens.
8. Do not advance the lens from the Holding Position until ready for implantation. Interruptions during delivery may result in the lens being scratched or cracked or stuck in the cartridge. Discard the device if the lens has been advanced past the Holding Position but not delivered within 60 seconds.
9. The lens and delivery system should be discarded if the lens has been folded within the cartridge for more than 10 minutes. Not doing so may result in the lens being stuck in the cartridge.
10. Johnson &amp; Johnson Surgical Vision, Inc., single-use medical devices are labeled with instructions for use and handling to minimize exposure to conditions which may compromise the product, patient, or the user. When used according to the directions for use, the delivery system minimizes the risk of infection and/or inflammation associated with contamination.
11. The reuse/resterilization/reprocessing of Johnson &amp; Johnson Surgical Vision, Inc. single-use medical devices may result in physical damage to the medical device, failure of the medical device to perform as intended, and patient contamination, transmission of infection, and lack of product sterility.
PRECAUTIONS
1. Prior to surgery, the surgeon must inform prospective patients of the possible risks and benefits associated with the use of this device and provide a copy of the patient information brochure to the patient.
2. Autorefractors may not provide optimal postoperative refraction of patients with the IOL. Manual refraction with maximum plus technique is strongly recommended.
3. This is a single-use device. Do not resterilize the lens or the delivery system. Most sterilizers are not equipped to sterilize the soft acrylic material of the IOL and the preloaded inserter material without producing undesirable side effects.
4. Do not store the device in direct sunlight or at a temperature under 41°F (5°C) or over 95°F (35°C).
5. Do not autoclave the delivery system.
6. The contents are sterile unless the package is opened or damaged.
7. Do not use if the delivery system has been dropped or if any part was inadvertently struck while outside the shipping box. The sterility of the delivery system and/or the lens may have been compromised.
8. The recommended temperature for implanting the lens is at least 63°F (17°C).
9. Do not advance the lens unless ready for lens implantation.
10. Do not leave the lens in a folded position more than 10 minutes.
11. When the delivery system is used improperly, the lens may not be delivered properly (i.e., haptics may be broken). Please refer to the specific Directions For Use section provided.
12. The use of balanced salt solution or ophthalmic viscosurgical devices (OVDs) is required when using the delivery system. For optimal performance when using OVD, use the HEALON™ family of OVDs. The use of balanced salt solution with additives has not been studied for this product.
13. The lens should be placed entirely in the capsular bag. The lens should not be placed in the ciliary sulcus.
14. Carefully remove all viscoelastic and do not over-inflate the capsular bag at the end of the case. Residual viscoelastic and/or over-inflation of the capsular bag may allow the lens to rotate, causing misalignment of the toric lens with the intended axis of placement.
15. Do not reuse.
16. Recent contact lens usage may affect the patient’s refraction; therefore, in contact lens wearers, surgeons should establish corneal stability without contact lenses prior to determining IOL power.
17. The IOL is designed for optimum visual performance when emmetropia is targeted.
18. The TECNIS™ Toric IOL Calculator includes a feature that accounts for posterior corneal astigmatism (PCA). The PCA is based on an algorithm that combines published literature (Koch, et al., 2012) and a retrospective analysis of data from a TECNIS™ Toric multi-center clinical study. The PCA algorithm for the selection of appropriate cylinder power and axis of implantation was not assessed in the prospective TECNIS™ Toric IOL U.S. IDE study and may yield results different from those in the TECNIS PureSee™ Toric II IOL labeling. Please refer to the TECNIS™ Toric IOL Calculator user manual for more information.
19. The use of methods other than the TECNIS™ Toric IOL Calculator to select cylinder power and appropriate axis of implantation were not assessed in the TECNIS™ Toric IOL U.S. IDE study and may not yield similar results. Accurate keratometry and biometry, in addition to the use of the TECNIS™ Toric IOL Calculator (www.TecnisToricCalc.com) are recommended to achieve optimal visual outcomes for the TECNIS PureSee™ Toric II IOLs.
20. All preoperative surgical parameters are important when choosing a toric lens for implantation, including preoperative keratometric cylinder (magnitude and axis), incision location, the surgeon’s estimated surgically induced astigmatism (SIA) and biometry. Variability in any of the preoperative measurements can influence patient outcomes and the effectiveness of treating eyes with lower amounts of preoperative corneal astigmatism. The effectiveness of the toric lens in reducing postoperative residual astigmatism in patients with preoperative corneal astigmatism less than 1.0 diopter has not been demonstrated.
21. All corneal incisions were placed temporally in the TECNIS™ Toric IOL U.S. IDE study. If the surgeon chooses to place the incision at a different location, outcomes may be different from those obtained for the TECNIS™ Toric IOL. Note that the TECNIS™ Toric IOL Calculator incorporates the surgeon’s estimated SIA and incision location when providing IOL options.
22. Children under the age of 2 years are not suitable candidates for intraocular lenses.
23. The safety and effectiveness of the TECNIS PureSee™ IOLs have not been substantiated in pregnant women, patients under the age of 22 or those with preexisting ocular conditions and intraoperative complications, including those specified in the Warnings and Precautions. Careful preoperative evaluation and sound clinical judgment should be used by the surgeon to decide the benefit/risk ratio before implanting a lens in a patient with one or more of these conditions.
Before Surgery
· Pupil abnormalities
· Prior corneal refractive or intraocular surgery
· Choroidal hemorrhage
· Chronic severe uveitis
· Concomitant severe eye disease
· Extremely shallow anterior chamber
· Medically uncontrolled glaucoma
· Microphthalmos
· Non-age-related cataract
· Proliferative diabetic retinopathy (severe)
· Severe corneal dystrophy
· Severe optic nerve atrophy
· Irregular corneal astigmatism
· Amblyopia
· Macular disease
During Surgery
· Excessive vitreous loss
· Non-circular capsulotomy/capsulorhexis
· The presence of radial tears known or suspected at the time of surgery
· Situations in which the integrity of the circular capsulotomy/ capsulorhexis cannot be confirmed by direct visualization
· Cataract extraction by techniques other than phacoemulsification or liquefaction
· Capsular rupture
· Significant anterior chamber hyphema
· Uncontrollable positive intraocular pressure
· Zonular damage
24. Potential complications generally associated with cataract surgery include, but are not limited to: endophthalmitis/intraocular infection, hypopyon, hyphema, IOL dislocation, persistent cystoid macular edema, pupillary block, retinal detachment/tear, persistent corneal stromal edema, persistent uveitis, persistent raised intraocular pressure (IOP) requiring treatment (e.g., AC tap), retained lens material, or toxic anterior segment syndrome, or any other adverse event that leads to permanent visual impairment or requires surgical or medical intervention to prevent permanent visual impairment.
ATTENTION: Reference the Directions for Use for a complete listing of Indications and Important Safety Information
About Vision at Johnson &amp; Johnson
Johnson &amp; Johnson has a deep legacy in developing transformational new products that improve the health of patients’ eyes. We have a bold ambition: Vision Made Possible – improving sight for more than 40 million people each year. Through cutting-edge innovation, expertise in material and optical science, and advanced technologies, we are revolutionizing the way people see and experience the world. Visit us at clearvisionforyou.com, follow @JNJVision on X, Johnson &amp; Johnson | Vision on LinkedIn, and @JNJVision on Facebook.</t>
        </is>
      </c>
      <c r="C31" t="inlineStr">
        <is>
          <t>P1</t>
        </is>
      </c>
      <c r="D31" t="inlineStr">
        <is>
          <t>产品动向</t>
        </is>
      </c>
      <c r="E31" s="2">
        <v>46093</v>
      </c>
      <c r="F31" t="inlineStr">
        <is>
          <t>强生</t>
        </is>
      </c>
      <c r="G31" t="inlineStr">
        <is>
          <t>药企</t>
        </is>
      </c>
      <c r="H31"/>
      <c r="I31" t="inlineStr">
        <is>
          <t>新药审批</t>
        </is>
      </c>
      <c r="J31" t="inlineStr">
        <is>
          <t>王宇超</t>
        </is>
      </c>
      <c r="K31" t="inlineStr">
        <is>
          <t>4月</t>
        </is>
      </c>
      <c r="L31" s="3" t="str">
        <f>=HYPERLINK("https://www.jnj.com/media-center/press-releases/johnson-johnson-announces-fda-approval-of-tecnis-puresee-intraocular-lens-a-breakthrough-solution-for-u-s-cataract-patients", "https://www.jnj.com/media-center/press-releases/johnson-johnson-announces-fda-approval-of-tecnis-puresee-intraocular-lens-a-breakthrough-solution-for-u-s-cataract-patients")</f>
        <v>https://www.jnj.com/media-center/press-releases/johnson-johnson-announces-fda-approval-of-tecnis-puresee-intraocular-lens-a-breakthrough-solution-for-u-s-cataract-patients</v>
      </c>
      <c r="M31" t="inlineStr">
        <is>
          <t>09.pdf</t>
        </is>
      </c>
      <c r="N31"/>
      <c r="O31"/>
    </row>
    <row r="32" ht="25.5" customHeight="1">
      <c r="A32" t="inlineStr">
        <is>
          <t>Novartis IgAN data in New England Journal of Medicine show Fabhalta® slowed kidney function decline by 49.3%</t>
        </is>
      </c>
      <c r="B32" t="inlineStr">
        <is>
          <t>Basel, March 29, 2026 – Novartis today announced final two-year results from the Phase III APPLAUSE‑IgAN study of Fabhalta® (iptacopan) in IgA nephropathy (IgAN). Fabhalta demonstrated a statistically significant, clinically meaningful improvement in estimated glomerular filtration rate (eGFR) slope, a key marker of kidney function, compared with placebo1. Fabhalta consistently outperformed placebo across key kidney outcomes over two years, demonstrating a slowing of disease progression and the potential to preserve kidney function in IgAN1.</t>
        </is>
      </c>
      <c r="C32" t="inlineStr">
        <is>
          <t>P1</t>
        </is>
      </c>
      <c r="D32" t="inlineStr">
        <is>
          <t>产品动向</t>
        </is>
      </c>
      <c r="E32" s="2">
        <v>46110</v>
      </c>
      <c r="F32" t="inlineStr">
        <is>
          <t>诺华</t>
        </is>
      </c>
      <c r="G32" t="inlineStr">
        <is>
          <t>药企</t>
        </is>
      </c>
      <c r="H32"/>
      <c r="I32"/>
      <c r="J32" t="inlineStr">
        <is>
          <t>贺岩</t>
        </is>
      </c>
      <c r="K32" t="inlineStr">
        <is>
          <t>4月</t>
        </is>
      </c>
      <c r="L32" s="3" t="str">
        <f>=HYPERLINK("https://www.novartis.com/news/media-releases/novartis-igan-data-new-england-journal-medicine-show-fabhalta-slowed-kidney-function-decline-493", "https://www.novartis.com/news/media-releases/novartis-igan-data-new-england-journal-medicine-show-fabhalta-slowed-kidney-function-decline-493")</f>
        <v>https://www.novartis.com/news/media-releases/novartis-igan-data-new-england-journal-medicine-show-fabhalta-slowed-kidney-function-decline-493</v>
      </c>
      <c r="M32" t="inlineStr">
        <is>
          <t>Novartis IgAN data in New England Journal of Medicine show Fabhalta® slowed kidney function decline by 49.3%.pdf</t>
        </is>
      </c>
      <c r="N32"/>
      <c r="O32"/>
    </row>
    <row r="33" ht="25.5" customHeight="1">
      <c r="A33" t="inlineStr">
        <is>
          <t>Sanofi’s Sarclisa subcutaneous formulation administered via on-body injector recommended for EU approval by the CHMP to treat multiple myeloma
March 27, 2026</t>
        </is>
      </c>
      <c r="B33" t="inlineStr">
        <is>
          <t>Paris, March 27, 2026. The European Medicines Agency’s Committee for Medicinal Products for Human Use (CHMP) has adopted a positive opinion recommending the approval of Sarclisa (isatuximab) subcutaneous (SC) in combination with approved standard-of-care regimens for the treatment of patients with multiple myeloma (MM) across all currently approved indications for Sarclisa intravenous (IV) formulation in the EU. If approved, Sarclisa would be the first available anticancer treatment to be administered through both an on-body injector (OBI) and manual injection, and the only anti-CD38 monoclonal antibody available in MM to offer the flexibility of both an OBI and manual injection. A final decision is expected in the coming months.
“This positive CHMP opinion is a pivotal milestone in our mission to improve the treatment experience for multiple myeloma patients and providers,” says Olivier Nataf, Global Head of Oncology at Sanofi. “Our aim is to evolve the treatment experience by combining the clinically proven efficacy of Sarclisa with innovative subcutaneous delivery via an on-body injector. This advancement reflects our unwavering commitment to patients and dedication to transforming care in ways that truly matter to people living with cancer.”
The positive CHMP opinion is based on the results from the IRAKLIA phase 3 study in relapsed and/or refractory (R/R) MM (clinical study identifier: NCT05405166), which demonstrated non‑inferiority of the SC formulation compared to the IV formulation. Four additional studies supported the decision and include the GMMG-HD8 phase 3 study in transplant-eligible newly diagnosed MM (NDMM, TE) (clinical study identifier: NCT05804032), the IZALCO phase 2 study in R/R MM (clinical study identifier: NCT05704049), and the ISASOCUT phase 2 study in transplant-ineligible NDMM (NDMM, TI) (clinical study identifier: NCT05889221) and one phase 1b study in R/R MM patients who received at least two prior lines of therapy (clinical study identifier: NCT04045795).
Of the multiple SC studies two studies showed the use of Sarclisa SC + OBI was associated with greater patient satisfaction compared to IV administration, and patient and healthcare provider preference compared to Sarclisa manual injection, based on patient experience and satisfaction questionnaires fielded in the studies.
These collective results provide comprehensive evidence supporting the potential use of Sarclisa SC + OBI to advance patient care in NDMM and R/R MM, while maintaining Sarclisa’s strong efficacy and safety profile.
The studies were conducted using Enable Injections’ enFuse® hands-free OBI, an automated injector designed to deliver subcutaneously high-volume medicines beginning with the push of a button, to administer Sarclisa SC formulation. The enFuse device uses a thinner and retractable needle that is smaller compared to the needles commonly used for large-volume injections, which may help support patient comfort.
Sarclisa IV is currently approved in four indications in the EU for both NDMM, TI and NDMM, TE, and as early as first relapse in R/R MM. In addition to the EU, a regulatory submission is also under review with the US Food and Drug Administration (FDA).
Sarclisa SC + OBI or manual injection is currently under clinical investigation, and its safety and efficacy have not been evaluated by any regulatory authority.</t>
        </is>
      </c>
      <c r="C33" t="inlineStr">
        <is>
          <t>P2</t>
        </is>
      </c>
      <c r="D33" t="inlineStr">
        <is>
          <t>产品动向</t>
        </is>
      </c>
      <c r="E33" s="2">
        <v>46108</v>
      </c>
      <c r="F33" t="inlineStr">
        <is>
          <t>赛诺菲</t>
        </is>
      </c>
      <c r="G33" t="inlineStr">
        <is>
          <t>药企</t>
        </is>
      </c>
      <c r="H33" t="inlineStr">
        <is>
          <t>🌟🌟</t>
        </is>
      </c>
      <c r="I33" t="inlineStr">
        <is>
          <t>新药审批, 肿瘤</t>
        </is>
      </c>
      <c r="J33" t="inlineStr">
        <is>
          <t>于小迪</t>
        </is>
      </c>
      <c r="K33" t="inlineStr">
        <is>
          <t>4月</t>
        </is>
      </c>
      <c r="L33" s="3" t="str">
        <f>=HYPERLINK("https://www.sanofi.com/en/media-room/press-releases/2026/2026-03-27-12-00-00-3263711", "https://www.sanofi.com/en/media-room/press-releases/2026/2026-03-27-12-00-00-3263711")</f>
        <v>https://www.sanofi.com/en/media-room/press-releases/2026/2026-03-27-12-00-00-3263711</v>
      </c>
      <c r="M33" t="inlineStr">
        <is>
          <t>2026-03-27-12-00-00-3263711-en.pdf</t>
        </is>
      </c>
      <c r="N33"/>
      <c r="O33"/>
    </row>
    <row r="34" ht="25.5" customHeight="1">
      <c r="A34" t="inlineStr">
        <is>
          <t>Triple agonist UBT251 showed a mean HbA1c reduction of up to 2.16% after 24 weeks in phase 2 trial in Chinese patients with type 2 diabetes</t>
        </is>
      </c>
      <c r="B34" t="inlineStr">
        <is>
          <t>Guangdong, China and Bagsværd, Denmark, 25 March 2026 – The United Laboratories International Holdings Limited (TUL) and Novo Nordisk A/S (Novo Nordisk) today announced topline results from a Chinese phase 2 trial of UBT251, a triple agonist of the receptors for GLP-1, GIP, and glucagon (triple G).
UBT251 is being jointly developed by TUL’s wholly-owned subsidiary, The United Bio-Technology (Hengqin) Co., Ltd. (United Biotechnology) and Novo Nordisk under an agreement signed in March 2025. United Biotechnology is responsible for development in Chinese mainland, Hong Kong, Macau and Taiwan, while Novo Nordisk is responsible for development in the rest of the world.
The trial, conducted by United Biotechnology, investigated the safety and efficacy of once-weekly injectable 2 mg, 4 mg and 6 mg doses of UBT251 compared to placebo and semaglutide 1 mg in Chinese people with type 2 diabetes. From a baseline mean glycated haemoglobin (HbA1c) of 8.12%, the highest mean HbA1c reduction observed for people treated with UBT251 was 2.16% compared to 1.77% for the semaglutide 1 mg group and 0.66% for the placebo group after 24 weeks of treatment.
From a baseline mean body weight of 80.1 kg and a mean BMI of 29.1 kg/m², the mean body weight reduction in the UBT251 groups was up to 9.8% compared with 4.8% in the semaglutide 1 mg group and 1.4% in the placebo group1.
Moreover, UBT251 showed improvements relative to placebo on key secondary endpoints, including waist circumference, blood pressure and lipids. The safety and tolerability profile of UBT251 appeared consistent with what has been observed in other clinical trials with triple-G agonists.
"The success of the phase 2 trial for UBT251 in Chinese patients with type 2 diabetes marks a significant milestone in the innovative development of TUL,” remarked Mr Tsoi Hoi Shan, Chairman of TUL. "We will fully advance the phase 3 trial in China, committed to providing superior treatment options for patients worldwide.”
“Following the recent positive read-out of phase 2 data in people with overweight or obesity, we are encouraged to see the results of this trial, which also demonstrate the potential of UBT251 in a type 2 diabetes population,” said Martin Holst Lange, executive vice president, chief scientific officer and head of Research and Development at Novo Nordisk. “Novo Nordisk will initiate a global phase 2 trial with UBT251 in people with type 2 diabetes later this year, and we are already conducting a global phase 2 trial in weight management that will read out next year.”
Novo Nordisk’s recently initiated global phase 1b/2a trial is investigating the safety, tolerability, pharmacokinetics and pharmacodynamics of different doses of UBT251 for up to 28 weeks in around 330 people living with overweight or obesity. Topline data from that trial is expected in 2027. Novo Nordisk expects to initiate the global phase 2 trial with UBT251 in people with type 2 diabetes in the second half of 2026.
United Biotechnology will present detailed data from the Chinese phase 2 trial at a medical congress later this year. Based on the results of this trial, the company is planning to initiate two phase 3 trials in Chinese patients with type 2 diabetes.</t>
        </is>
      </c>
      <c r="C34" t="inlineStr">
        <is>
          <t>P2</t>
        </is>
      </c>
      <c r="D34" t="inlineStr">
        <is>
          <t>产品动向</t>
        </is>
      </c>
      <c r="E34" s="2">
        <v>46106</v>
      </c>
      <c r="F34" t="inlineStr">
        <is>
          <t>诺和诺德</t>
        </is>
      </c>
      <c r="G34" t="inlineStr">
        <is>
          <t>药企</t>
        </is>
      </c>
      <c r="H34" t="inlineStr">
        <is>
          <t>🌟🌟</t>
        </is>
      </c>
      <c r="I34" t="inlineStr">
        <is>
          <t>GLP-1</t>
        </is>
      </c>
      <c r="J34" t="inlineStr">
        <is>
          <t>于小迪</t>
        </is>
      </c>
      <c r="K34" t="inlineStr">
        <is>
          <t>4月</t>
        </is>
      </c>
      <c r="L34" s="3" t="str">
        <f>=HYPERLINK("https://www.novonordisk.com/content/nncorp/global/en/news-and-media/news-and-ir-materials/news-details.html?id=916519", "https://www.novonordisk.com/content/nncorp/global/en/news-and-media/news-and-ir-materials/news-details.html?id=916519")</f>
        <v>https://www.novonordisk.com/content/nncorp/global/en/news-and-media/news-and-ir-materials/news-details.html?id=916519</v>
      </c>
      <c r="M34" t="inlineStr">
        <is>
          <t>pr260325-ubt251-t2d.pdf</t>
        </is>
      </c>
      <c r="N34"/>
      <c r="O34"/>
    </row>
    <row r="35" ht="25.5" customHeight="1">
      <c r="A35" t="inlineStr">
        <is>
          <t>Pfizer Announces Positive Topline Phase 2 Results for Next-Generation CDK4 Inhibitor, Atirmociclib, in Second-Line Metastatic Breast Cancer</t>
        </is>
      </c>
      <c r="B35" t="inlineStr">
        <is>
          <t>Pfizer announced on March 17, 2026, that the Phase 2 FOURLIGHT-1 study met its primary endpoint, demonstrating that the next-generation CDK4 inhibitor atirmociclib in combination with fulvestrant reduced the risk of disease progression or death by 40% compared to fulvestrant alone or everolimus plus exemestane in patients with HR-positive, HER2-negative advanced or metastatic breast cancer who had received prior CDK4/6 inhibitor-based treatment. More than 90% of patients initiated atirmociclib within three months of prior CDK4/6 inhibitor therapy. Overall survival data were not mature at the time of analysis. The safety profile of atirmociclib was consistent with prior studies, with 6.4% of patients discontinuing due to treatment-emergent adverse events. Pfizer is accelerating development of atirmociclib into earlier lines of therapy.</t>
        </is>
      </c>
      <c r="C35" t="inlineStr">
        <is>
          <t>P2</t>
        </is>
      </c>
      <c r="D35" t="inlineStr">
        <is>
          <t>产品动向</t>
        </is>
      </c>
      <c r="E35" s="2">
        <v>46098</v>
      </c>
      <c r="F35" t="inlineStr">
        <is>
          <t>辉瑞</t>
        </is>
      </c>
      <c r="G35" t="inlineStr">
        <is>
          <t>药企</t>
        </is>
      </c>
      <c r="H35"/>
      <c r="I35" t="inlineStr">
        <is>
          <t>肿瘤, 新药审批</t>
        </is>
      </c>
      <c r="J35" t="inlineStr">
        <is>
          <t>朱伊</t>
        </is>
      </c>
      <c r="K35" t="inlineStr">
        <is>
          <t>4月</t>
        </is>
      </c>
      <c r="L35" s="3" t="str">
        <f>=HYPERLINK("https://www.pfizer.com/news/press-release/press-release-detail/pfizer-announces-positive-topline-phase-2-results-next", "https://www.pfizer.com/news/press-release/press-release-detail/pfizer-announces-positive-topline-phase-2-results-next")</f>
        <v>https://www.pfizer.com/news/press-release/press-release-detail/pfizer-announces-positive-topline-phase-2-results-next</v>
      </c>
      <c r="M35" t="inlineStr">
        <is>
          <t>Pfizer Announces Positive Topline Phase 2 Results for NextGeneration CDK4 Inhibitor Atirmociclib in SecondLine Metastatic Breast Cancer.pdf</t>
        </is>
      </c>
      <c r="N35"/>
      <c r="O35"/>
    </row>
    <row r="36" ht="25.5" customHeight="1">
      <c r="A36" t="inlineStr">
        <is>
          <t>Pfizer’s Phase 2 Study of Trispecific Antibody Positive in Moderate to Severe Atopic Dermatitis</t>
        </is>
      </c>
      <c r="B36" t="inlineStr">
        <is>
          <t>Pfizer announced on March 9, 2026, that its investigational trispecific antibody tilrekimig met the primary endpoint in a Phase 2 study of adults with moderate to severe atopic dermatitis, demonstrating a statistically significant increase in the percentage of participants achieving EASI-75 at Week 16 across all doses tested compared to placebo, with the highest tested dose achieving a 49.4% placebo-adjusted response. Tilrekimig simultaneously targets IL-4, IL-13, and TSLP, with the potential to be a once-monthly, first-in-class treatment for multiple Th2-mediated inflammatory conditions. Tilrekimig was well-tolerated with a favorable safety profile, and adverse event rates were comparable to placebo with no dose-dependent safety signals. Based on these encouraging results, Pfizer plans to accelerate tilrekimig into Phase 3 development, with a pivotal study in atopic dermatitis on track to start this year.</t>
        </is>
      </c>
      <c r="C36" t="inlineStr">
        <is>
          <t>P2</t>
        </is>
      </c>
      <c r="D36" t="inlineStr">
        <is>
          <t>产品动向</t>
        </is>
      </c>
      <c r="E36" s="2">
        <v>46090</v>
      </c>
      <c r="F36" t="inlineStr">
        <is>
          <t>辉瑞</t>
        </is>
      </c>
      <c r="G36" t="inlineStr">
        <is>
          <t>药企</t>
        </is>
      </c>
      <c r="H36"/>
      <c r="I36" t="inlineStr">
        <is>
          <t>免疫, 新药审批</t>
        </is>
      </c>
      <c r="J36" t="inlineStr">
        <is>
          <t>朱伊</t>
        </is>
      </c>
      <c r="K36" t="inlineStr">
        <is>
          <t>4月</t>
        </is>
      </c>
      <c r="L36" s="3" t="str">
        <f>=HYPERLINK("https://www.pfizer.com/news/press-release/press-release-detail/pfizers-phase-2-study-trispecific-antibody-positive", "https://www.pfizer.com/news/press-release/press-release-detail/pfizers-phase-2-study-trispecific-antibody-positive")</f>
        <v>https://www.pfizer.com/news/press-release/press-release-detail/pfizers-phase-2-study-trispecific-antibody-positive</v>
      </c>
      <c r="M36" t="inlineStr">
        <is>
          <t>Pfizers Phase 2 Study of Trispecific Antibody Positive in Moderate to Severe Atopic Dermatitis.pdf</t>
        </is>
      </c>
      <c r="N36"/>
      <c r="O36"/>
    </row>
    <row r="37" ht="25.5" customHeight="1">
      <c r="A37" t="inlineStr">
        <is>
          <t>Pembrolizumab and olaparib in homologous-recombination-deficient metastatic pancreatic cancer: the phase 2 POLAR trial</t>
        </is>
      </c>
      <c r="B37" t="inlineStr">
        <is>
          <t>Abstract
Homologous recombination deficiency (HRD) arising from BRCA1or BRCA2 or PALB2 mutations confers sensitivity to platinum chemotherapy and PARP inhibition in pancreatic cancer (PC) and may enable prolonged disease control with immune checkpoint blockade (ICB). The phase 2 POLAR trial evaluated maintenance pembrolizumab plus olaparib following platinum-based chemotherapy in biomarker-stratified metastatic PC. Sixty-three participants were enrolled into three cohorts: cohort A (BRCA1/BRCA2-mutated or PALB2-mutated HRD, n = 33), cohort B (non-core HRD, n = 15) and cohort C (platinum sensitive, HRD-wild type, n = 15). Cohort A used a two-stage design with co-primary endpoints of at least 43% Response Evaluation Criteria in Solid Tumors (RECIST) objective response rate (ORR) and at least 77% 6-month progression-free survival (PFS) rate. Among RECIST-evaluable participants in cohort A (n = 20), ORR was 35% (95% confidence interval (CI): 15−59%), whereas 6-month PFS rate in the full cohort (n = 33) was 64% (95% CI: 49−82%), not meeting the primary endpoint. At a median follow-up of 37 months (95% CI: 27−47), median PFS and overall survival (OS) for cohort A were 8.3 (95% CI: 5.3−not reached (NR)) and 28 (95% CI: 12−NR) months, with 2-year and 3-year OS rates of 56% (95% CI: 41−76%) and 44% (95% CI: 28−69%), respectively. In cohorts B and C, ORR was 8% (95% CI: 0−38%) and 14% (95% CI: 2%-43%); median PFS was 4.8 (95% CI: 4.0−12) and 3.3 (95% CI: 1.9−4.8) months; and median OS was 18 (95% CI: 13−NR) and 10 (95% CI: 8.9−24) months, respectively. Preplanned translational analyses showed that circulating tumor DNA response, increased tumor-infiltrating lymphocytes and enrichment of frameshift indel neoantigens were associated with durable clinical benefit. These data suggest that a subset of HRD PC may derive prolonged benefit from PARP-ICB maintenance and support further development of biomarker-guided precision immunotherapy strategies in PC. ClinicalTrials.gov identifier: NCT04666740.</t>
        </is>
      </c>
      <c r="C37" t="inlineStr">
        <is>
          <t>P2</t>
        </is>
      </c>
      <c r="D37" t="inlineStr">
        <is>
          <t>技术动向</t>
        </is>
      </c>
      <c r="E37" s="2">
        <v>46106</v>
      </c>
      <c r="F37" t="inlineStr">
        <is>
          <t>Nature</t>
        </is>
      </c>
      <c r="G37" t="inlineStr">
        <is>
          <t>学术期刊</t>
        </is>
      </c>
      <c r="H37" t="inlineStr">
        <is>
          <t>🌟</t>
        </is>
      </c>
      <c r="I37" t="inlineStr">
        <is>
          <t>肿瘤</t>
        </is>
      </c>
      <c r="J37" t="inlineStr">
        <is>
          <t>张均好</t>
        </is>
      </c>
      <c r="K37" t="inlineStr">
        <is>
          <t>4月</t>
        </is>
      </c>
      <c r="L37" s="3" t="str">
        <f>=HYPERLINK("https://www.nature.com/articles/s41591-026-04299-5", "Pembrolizumab and olaparib in homologous-recombination-deficient metastatic pancreatic cancer: the phase 2 POLAR trial | Nature Medicine")</f>
        <v>Pembrolizumab and olaparib in homologous-recombination-deficient metastatic pancreatic cancer: the phase 2 POLAR trial | Nature Medicine</v>
      </c>
      <c r="M37"/>
      <c r="N37"/>
      <c r="O37"/>
    </row>
    <row r="38" ht="25.5" customHeight="1">
      <c r="A38" t="inlineStr">
        <is>
          <t>Positive Data from Phase 2 CADENCE Trial Provides Definitive Proof-of-Concept for WINREVAIR™ (sotatercept-csrk) in Adults With the Syndrome of Combined Post- and Precapillary Pulmonary Hypertension and Heart Failure With Preserved Ejection Fraction</t>
        </is>
      </c>
      <c r="B38" t="inlineStr">
        <is>
          <t>Merck’s WINREVAIR met primary endpoint of change in pulmonary vascular resistance (PVR), significantly improving the ability of blood to flow through the lungs to the heart
Totality of evidence across hemodynamic, functional, echocardiographic and clinical endpoints supports advancing development of WINREVAIR for this distinct patient population into a registrational Phase 3 study
RAHWAY, N.J.--(BUSINESS WIRE)-- Merck (NYSE: MRK), known as MSD outside of the United States and Canada, today announced detailed results from the Phase 2 CADENCE study, which was designed to evaluate the efficacy, safety and tolerability of two doses (0.3 mg/kg and 0.7 mg/kg) of WINREVAIR™ (sotatercept-csrk) for the treatment of adults with the syndrome of combined post- and precapillary pulmonary hypertension and heart failure with preserved ejection fraction (CpcPH-HFpEF). In this distinct patient population, WINREVAIR showed a statistically significant and clinically meaningful reduction from baseline in pulmonary vascular resistance (PVR) versus placebo (n=55) at week 24, with a 1.02 Wood units reduction for the 0.3 mg/kg dose (n=54, [95% CI, -1.81, -0.23], p=0.004) and a 0.75 Wood units reduction for the 0.7 mg/kg dose (n=55, [95% CI -1.52, 0.03], p=0.024). As noted below, important secondary endpoints explored include six-minute walk distance (6MWD), echocardiographic measures, N-terminal pro-B-type natriuretic peptide (NT-proBNP) levels and time to clinical worsening (TTCW). These late-breaking data were presented today in a late-breaking clinical trial presentation at the American College of Cardiology’s Annual Scientific Session and Expo (ACC.26), simultaneously published in Circulation and featured as part of an ACC.26 press conference.
“CpcPH-HFpEF is a distinct, identifiable and well-characterized condition that develops in people with advanced heart failure and typically impacts people who are older and have other comorbid conditions. While it is an uncommon condition and underdiagnosed, it is associated with a high morbidity and mortality rate and there are no approved treatment options specifically for CpcPH-HFpEF,” said Dr. Mardi Gomberg-Maitland, MSc, Walter G. Ross professor of clinical research, director of Pulmonary Hypertension Program, George Washington University School of Medicine and Health Sciences. “The Phase 2 CADENCE study results suggest that WINREVAIR has direct pulmonary vascular and cardiac effects in this distinct population, which may translate to clinically meaningful improvements. These proof-of-concept data provide strong rationale for further evaluation in a Phase 3 study.”
In this Phase 2 study designed to assess proof-of-concept and different doses, patients in the WINREVAIR 0.7 mg/kg arm showed an increase of 5.8 meters in 6MWD that did not reach statistical significance (95% CI, -17.3, 28.9). While subsequent secondary endpoints were not formally tested due to the prespecified hierarchical testing strategy, there was a 20.3-meter increase from baseline in 6MWD in patients treated with WINREVAIR 0.3 mg/kg (95% CI, 1.5, 39.1). Additional findings from the week 24 analysis of these secondary endpoints compared to placebo include:
the reduction in mean pulmonary arterial pressure (mPAP) from baseline was -9.19 for WINREVAIR 0.3 mg/kg (95% CI, -13.00, -5.38) and was -9.22 for WINREVAIR 0.7 mg/kg (95% CI, -12.97, -5.46);
the reduction in pulmonary arterial wedge pressure (PAWP) from baseline was -3.04 for WINREVAIR 0.3 mg/kg (95% CI, -5.77, -0.32) and -2.53 for WINREVAIR 0.7 mg/kg (95% CI, -5.33, 0.28);
the reduction in NT-proBNP levels from baseline was -344 pg/mL for WINREVAIR 0.3 mg/kg (95% CI, -656, -31); and -402 pg/mL for WINREVAIR 0.7 mg/kg (95% CI, -846, 42);
the time to first occurrence of a clinical worsening event was prolonged with WINREVAIR 0.3 mg/kg (HR: 0.18 [95% CI, 0.05, 0.62]) and WINREVAIR 0.7 mg/kg (HR: 0.59 [95% CI, 0.25, 1.36]).
The safety profile observed in CpcPH-HFpEF was generally consistent with the known safety profile for WINREVAIR in pulmonary arterial hypertension (PAH).
“The totality of evidence and consistency in trends across multiple endpoints from the CADENCE study support advancement of WINREVAIR into a registrational Phase 3 program in CpcPH-HFpEF. While both doses suggest efficacy, CADENCE results support that the 0.3 mg/kg dose may optimize the benefit-risk profile of WINREVAIR in the distinct population of CpcPH-HFpEF,” said Dr. Mahesh Patel, vice president, global clinical development, Merck Research Laboratories. “We are working with regulatory agencies to design a Phase 3 registrational study with endpoints that focus on clinical outcomes most relevant to the needs of this population, with the ultimate goal of providing the first treatment option for CpcPH-HFpEF.”
About the CADENCE study and additional results
CADENCE is a double-blind, randomized, placebo-controlled Phase 2 proof-of-concept study (NCT04945460) evaluating the efficacy, safety and tolerability of WINREVAIR versus placebo in adults with CpcPH-HFpEF. Adult patients in the trial had a diagnosis of CpcPH-HFpEF with New York Heart Association (NYHA) FC II or III. The study enrolled 164 participants, and the demographics and clinical characteristics at baseline were generally balanced. The median age was 75 years old (69-79) and 69.5% of the patients were female (n=114). 65.9% of patients had a NYHA FC III diagnosis and 34.1% had a NYHA FC II diagnosis. At baseline, 34.8% had atrial fibrillation and 46.3% had diabetes.
A total of 164 participants were randomized in a 1:1:1 ratio to one of the three treatment groups: placebo once every three weeks (Q3W) (n=55), 0.3 mg/kg WINREVAIR Q3W (n=54) and 0.7 mg/kg WINREVAIR Q3W (n=55) during the placebo-controlled treatment period. For those randomized to the 0.7 mg/kg dose of WINREVAIR, participants received a starting dose level of WINREVAIR 0.3 mg/kg for the initial three dosing visits, then escalated to the 0.7 mg/kg dose Q3W.
The CADENCE trial was designed as a proof-of-concept study with biomarkers, invasive hemodynamics, non-invasive imaging and exercise capacity. The primary endpoint is change from baseline in PVR. The study also evaluated exercise capacity, as well as echocardiographic, biomarker and clinical endpoints. Time to clinical worsening was defined by a composite endpoint of death, ≥1 hospitalization due to cardiopulmonary indication; ≥1 administration of intravenous diuretics or subcutaneous furosemide or ≥15 percent decrease from baseline in 6MWD confirmed by two tests. At baseline, the median PVR was 5.2 Wood units (4.0, 6.9), mPAP was 43 mmHg (38.0, 50.0), PAWP was 21.0 mmHg (18.0, 25.0), the median 6MWD was 273.8 meters (199.5, 343.8), and the median NT-proBNP level was 1119 pg/mL (554-2383).
Serious adverse events (SAEs) were reported in 20% of participants receiving WINREVAIR 0.3 mg/kg, 33% of participants receiving WINREVAIR 0.7 mg/kg and 22% receiving placebo. Adverse events leading to treatment discontinuation were comparable between WINREVAIR 0.3 mg/kg and placebo, with no discontinuations in either group. There were three discontinuations due to an AE and one discontinuation due to a drug-related AE in the WINREVAIR 0.7 mg/kg group. Bleeding events occurred in 26% of patients in the WINREVAIR 0.3 mg/kg group, 27% in the WINREVAIR 0.7 mg/kg group and 24% of patients in the placebo group. Adverse events leading to death occurred in one patient in the WINREVAIR 0.7 mg/kg group and two patients in the placebo group. Adverse events with an incidence of ≥10% in any group included diarrhea, fatigue, peripheral edema, influenza, nasopharyngitis, urinary tract infection, dizziness, headache and dyspnea.
About the syndrome of combined post- and precapillary pulmonary hypertension and heart failure with preserved ejection fraction (CpcPH-HFpEF)
Combined post- and precapillary pulmonary hypertension and heart failure with preserved ejection fraction (CpcPH-HFpEF) is a distinct, identifiable and well-characterized condition that develops in people with long-term or advanced heart failure. Different from Group 1 pulmonary arterial hypertension (PAH), CpcPH-HFpEF is caused by two interrelated components: pulmonary vascular disease and cardiac disease. CpcPH-HFpEF is thought to be uncommon and underdiagnosed, typically impacting people who are older and have other comorbid conditions. It is associated with a worse prognosis and higher mortality rate compared to HFpEF alone. There are no treatments specifically approved for CpcPH-HFpEF.
About WINREVAIR™ (sotatercept-csrk) for injection, for subcutaneous use, 45 mg, 60 mg
WINREVAIR is FDA-approved for the treatment of adults with pulmonary arterial hypertension (PAH, WHO Group 1 pulmonary hypertension) to improve exercise capacity and World Health Organization (WHO) functional class (FC), and reduce the risk of clinical worsening events, including hospitalization for PAH, lung transplantation and death. WINREVAIR is the first activin signaling inhibitor therapy approved to treat PAH. WINREVAIR improves the balance between pro-proliferative and anti-proliferative signaling to modulate vascular proliferation. In preclinical models, WINREVAIR induced cellular changes that were associated with thinner vessel walls, partial reversal of right ventricular remodeling and improved hemodynamics.
WINREVAIR is the subject of a licensing agreement with Bristol Myers Squibb.
Selected Safety Information for WINREVAIR
WINREVAIR may increase hemoglobin (Hgb). Severe erythrocytosis may increase the risk of thromboembolic events or hyperviscosity syndrome. Monitor Hgb before each dose for the first 5 doses, or longer if values are unstable, and periodically thereafter, to determine if dose adjustments are required.
WINREVAIR may decrease platelet count. Severe thrombocytopenia may increase the risk of bleeding. Thrombocytopenia occurred more frequently in patients also receiving prostacyclin infusion. Do not initiate treatment if platelet count is &lt;50,000/mm3. Monitor platelets before each dose for the first 5 doses, or longer if values are unstable, and periodically thereafter to determine whether dose adjustments are required.
In clinical studies, serious bleeding (e.g., gastrointestinal, intracranial hemorrhage) was reported in 4% vs 1% (STELLAR) and 7% vs 5% (ZENITH) of patients taking WINREVAIR vs placebo, respectively. Patients with serious bleeding were more likely to be on prostacyclin background therapy and/or antithrombotic agents, or have low platelet counts. Advise patients about signs and symptoms of blood loss. Evaluate and treat bleeding accordingly. Do not administer WINREVAIR if the patient is experiencing serious bleeding.
WINREVAIR may cause fetal harm when administered to a pregnant woman. Advise pregnant women of the potential risk to a fetus. Advise females of reproductive potential to use an effective method of contraception during treatment with WINREVAIR and for at least 4 months after the final dose. Pregnancy testing is recommended for females of reproductive potential before starting WINREVAIR treatment.
Based on findings in animals, WINREVAIR may impair female and male fertility. Advise patients on the potential effects on fertility.
The most common adverse reactions (≥10% for WINREVAIR and at least 5% more than placebo) occurring in the STELLAR Phase 3 clinical trial were headache (24.5% vs 17.5%), epistaxis (22.1% vs 1.9%), rash (20.2% vs 8.1%), telangiectasia (16.6% vs 4.4%), diarrhea (15.3% vs 10.0%), dizziness (14.7% vs 6.3%) and erythema (13.5% vs 3.1%). The most common adverse reactions in the ZENITH trial were infections (67.4% vs 44.2%), epistaxis (45.3% vs 9.3%), diarrhea (25.6 % vs 17.4%), telangiectasia (25.6 % vs 3.5%), increased hemoglobin (15.1% vs 1.2%), rash (10.5% vs 4.7%), erythema (10.5% vs 3.5%) and gingival bleeding (10.5% vs 2.3%).
Because of the potential for serious adverse reactions in the breastfed child, advise patients that breastfeeding is not recommended during treatment with WINREVAIR, and for 4 months after the final dose.
Merck’s focus on cardiometabolic and respiratory diseases
Merck has a long history of developing treatments for cardiometabolic and respiratory diseases. Building on a legacy that began nearly 70 years ago with the introduction of our first cardiovascular therapy, we are committed to advancing research for patients impacted by cardiometabolic and respiratory diseases. Our focus spans a range of diseases, including atherosclerotic cardiovascular disease, heart failure, pulmonary hypertension and chronic obstructive pulmonary disease (COPD).
Advancements in the treatment of cardiometabolic and respiratory diseases can make a critical difference for patients and health systems around the world. At Merck, we strive for scientific excellence and innovation in all stages of research, from discovery through approval and life cycle management. We partner with experts in the community to advance research that can help improve the lives of patients.
For more information, visit https://www.merck.com/research/cardiometabolic-and-respiratory-diseases/.</t>
        </is>
      </c>
      <c r="C38" t="inlineStr">
        <is>
          <t>P2</t>
        </is>
      </c>
      <c r="D38" t="inlineStr">
        <is>
          <t>产品动向</t>
        </is>
      </c>
      <c r="E38" s="2">
        <v>46110</v>
      </c>
      <c r="F38" t="inlineStr">
        <is>
          <t>默沙东</t>
        </is>
      </c>
      <c r="G38" t="inlineStr">
        <is>
          <t>药企</t>
        </is>
      </c>
      <c r="H38"/>
      <c r="I38" t="inlineStr">
        <is>
          <t>肿瘤</t>
        </is>
      </c>
      <c r="J38" t="inlineStr">
        <is>
          <t>王宇超</t>
        </is>
      </c>
      <c r="K38" t="inlineStr">
        <is>
          <t>4月</t>
        </is>
      </c>
      <c r="L38" s="3" t="str">
        <f>=HYPERLINK("https://www.merck.com/news/positive-data-from-phase-2-cadence-trial-provides-definitive-proof-of-concept-for-winrevair-sotatercept-csrk-in-adults-with-the-syndrome-of-combined-post-and-precapillary-pulmonary-hyperte/", "https://www.merck.com/news/positive-data-from-phase-2-cadence-trial-provides-definitive-proof-of-concept-for-winrevair-sotatercept-csrk-in-adults-with-the-syndrome-of-combined-post-and-precapillary-pulmonary-hyperte/")</f>
        <v>https://www.merck.com/news/positive-data-from-phase-2-cadence-trial-provides-definitive-proof-of-concept-for-winrevair-sotatercept-csrk-in-adults-with-the-syndrome-of-combined-post-and-precapillary-pulmonary-hyperte/</v>
      </c>
      <c r="M38" t="inlineStr">
        <is>
          <t>04.pdf</t>
        </is>
      </c>
      <c r="N38"/>
      <c r="O38"/>
    </row>
    <row r="39" ht="25.5" customHeight="1">
      <c r="A39" t="inlineStr">
        <is>
          <t>Nanoparticles hijack calvarial immune cells for CNS drug delivery and stroke therapy</t>
        </is>
      </c>
      <c r="B39" t="inlineStr">
        <is>
          <t>Summary
The rapid accessibility of calvarial immune cells to the brain, in principle, may offer transformative opportunities for overcoming drug delivery barriers in central nervous system (CNS) disorders. Here, we hijacked calvarial immune cells using drug-loaded nanoparticles (NPs) and leveraged their unique migration mechanism through skull-meninges microchannels to bypass the blood-brain barrier (BBB) for CNS drug delivery. We constructed NP-loaded immune cells in situ via intracalvariosseous (ICO) injection, validated their prompt migration in response to CNS perturbation, and targeted therapeutic delivery to CNS lesions. Compared with conventional delivery approaches, this strategy achieved promising therapeutic efficacy in improving both short- and long-term outcomes in preclinical stroke models. Our prospective clinical trial further supports the translational feasibility of ICO immune access in treating malignant stroke. These findings establish skull-based delivery as a promising, clinically translatable route for CNS drug delivery and highlight immune-assisted transport as a potentially transformative strategy for improving therapeutic outcomes in neurological disorders.
Graphical abstract
</t>
        </is>
      </c>
      <c r="C39" t="inlineStr">
        <is>
          <t>P2</t>
        </is>
      </c>
      <c r="D39" t="inlineStr">
        <is>
          <t>技术动向</t>
        </is>
      </c>
      <c r="E39" s="2">
        <v>46086</v>
      </c>
      <c r="F39" t="inlineStr">
        <is>
          <t>Cell</t>
        </is>
      </c>
      <c r="G39" t="inlineStr">
        <is>
          <t>学术期刊</t>
        </is>
      </c>
      <c r="H39" t="inlineStr">
        <is>
          <t>🌟</t>
        </is>
      </c>
      <c r="I39" t="inlineStr">
        <is>
          <t>免疫</t>
        </is>
      </c>
      <c r="J39" t="inlineStr">
        <is>
          <t>张均好</t>
        </is>
      </c>
      <c r="K39" t="inlineStr">
        <is>
          <t>4月</t>
        </is>
      </c>
      <c r="L39" s="3" t="str">
        <f>=HYPERLINK("https://www.cell.com/cell/fulltext/S0092-8674(25)01421-7", "Nanoparticles hijack calvarial immune cells for CNS drug delivery and stroke therapy: Cell")</f>
        <v>Nanoparticles hijack calvarial immune cells for CNS drug delivery and stroke therapy: Cell</v>
      </c>
      <c r="M39"/>
      <c r="N39"/>
      <c r="O39"/>
    </row>
    <row r="40" ht="25.5" customHeight="1">
      <c r="A40" t="inlineStr">
        <is>
          <t>Merck to Acquire Terns Pharmaceuticals, Inc., Expanding Its Hematology Pipeline With TERN-701, a Novel Candidate for Chronic Myeloid Leukemia (CML)</t>
        </is>
      </c>
      <c r="B40" t="inlineStr">
        <is>
          <t>Terns’ lead candidate TERN-701 is an investigational oral allosteric BCR::ABL1 tyrosine kinase inhibitor currently in Phase 1/2 development for certain patients with CML
Merck to hold investor call at 8 a.m. EDT today
RAHWAY, N.J., &amp; FOSTER CITY, Calif.--(BUSINESS WIRE)-- Merck (NYSE: MRK), known as MSD outside of the United States and Canada, and Terns Pharmaceuticals, Inc. (“Terns”) (Nasdaq: TERN), a clinical-stage oncology company, today announced that the companies have entered into a definitive agreement under which Merck, through a subsidiary, will acquire Terns for $53.00 per share in cash for an approximate equity value of $6.7 billion. This equates to approximately $5.7 billion net of acquired cash and represents an approximate premium of 31% to the 60-day and 42% to the 90-day volume-weighted average stock price on March 24, 2026.
“The acquisition of Terns builds on our growing presence in hematology with TERN-701, a potential best-in-class candidate for the treatment of certain patients with chronic myeloid leukemia,” said Robert M. Davis, chairman and chief executive officer, Merck. “This transaction further diversifies and strengthens our position in oncology as we continue to look for opportunities to broaden our portfolio into other therapeutic areas.”
Terns’ lead candidate, TERN-701, is a novel investigational oral allosteric BCR::ABL1 tyrosine kinase inhibitor (TKI) currently being evaluated in the Phase 1/2 CARDINAL trial (NCT06163430) for patients with Philadelphia chromosome-positive (Ph+), chronic phase chronic myeloid leukemia (CML) previously treated with at least one prior TKI and who experienced treatment failure, suboptimal response or treatment intolerance. In March 2024, the U.S. Food and Drug Administration (FDA) granted Orphan Drug Designation for TERN-701 for the treatment of CML.
“This acquisition reflects our team’s deep commitment to innovation in oncology and developing high impact medicines,” said Amy Burroughs, chief executive officer, Terns. “By working together, we will advance TERN-701, leveraging the deep expertise and significant resources at Merck, a global biopharmaceutical leader with a proven track record of delivering cancer breakthroughs for patients who need them most. I am immensely proud of the Terns team and our work towards making a difference for people living with CML. Finally, we extend our heartfelt thanks to the investigators, patients, and community advocates whose dedication and support make the development of TERN-701 possible.”
In clinical trials to date, TERN-701 has shown promising activity, with encouraging rates of major molecular response and deep molecular response observed by week 24. Importantly, this includes responses in patients with high disease burden who previously received multiple lines of therapy, including many who were treated with an allosteric TKI. The majority of treatment-emergent adverse events were reported as low grade with a low incidence of severe adverse events and discontinuations. No clinically meaningful changes in blood pressure have been observed, and rates of lipase elevation have been low.
“The first approval of a BCR::ABL1 tyrosine kinase inhibitor 25 years ago transformed the prognosis for many patients with chronic myeloid leukemia. Despite new therapeutic options, there is significant need for innovative, well-tolerated therapies with faster time to onset of molecular response leading to deeper responses and better disease control,” said Dr. Dean Y. Li, president, Merck Research Laboratories. “Based on early clinical evidence, TERN-701, a novel allosteric BCR::ABL1 inhibitor, may have the potential to provide a meaningfully differentiated option for certain patients living with CML.”
The transaction has been approved by both Merck’s and Terns’ Boards of Directors. Under the terms of the merger agreement, Merck, through a subsidiary, will acquire all of the outstanding shares of Terns. The acquisition is subject to a majority of Terns’ stockholders tendering their shares in a tender offer that will be initiated by a subsidiary of Merck. The closing of the proposed transaction will be subject to certain conditions, including the expiration of the waiting period under the Hart-Scott-Rodino Antitrust Improvements Act and other customary conditions. The transaction is expected to be accounted for as an asset acquisition and close in the second quarter of 2026, resulting in a charge of approximately $5.8 billion, or approximately $2.35 per share, included in both second quarter and full year 2026 GAAP and non-GAAP results.
A copy of the merger agreement for the transaction will be filed with the Securities and Exchange Commission (“SEC”) and will be publicly available free of charge at the SEC’s website at www.sec.gov. Copies of the documents filed with the SEC by Merck may be obtained at no charge from Merck’s website at www.merck.com or by contacting Merck at 126 East Lincoln Avenue, P.O. Box 2000, Rahway, NJ 07065 USA, or (908) 740-4000. Copies of the documents filed with the SEC by Terns may be obtained at no charge from Terns’ website at www.ternspharma.com or by contacting Terns at 1065 East Hillsdale Blvd., Suite 100, Foster City, CA 94404 or (650) 525-5535 Ext.101.
Investor Call
Merck will hold an investor call Wednesday, March 25, 2026 at 8 a.m. EDT to discuss the proposed transaction. Journalists who wish to ask questions should contact a member of Merck’s Global Media Relations team at the conclusion of the call. Investors, journalists and the general public may access a live audio webcast of the call via this weblink.
All participants may join the call by dialing (800) 369-2154 (U.S. and Canada Toll-Free) or (517) 308-9422 and using the access code 8711041.
Advisors
Centerview Partners LLC and Jefferies LLC acted as financial advisors to Terns and Freshfields LLP acted as Terns’ legal advisor.
About TERN-701
TERN-701 is a novel investigational oral allosteric BCR::ABL1 tyrosine kinase inhibitor (TKI) designed to bind to the ABL myristoyl pocket, with a potentially best-in-disease profile that could improve upon the efficacy, safety and convenience of existing treatments for CML.
About the CARDINAL study
TERN-701 is currently being evaluated in the CARDINAL trial (NCT06163430), a global multi-center dose escalation and dose-expansion clinical trial to assess safety, tolerability and efficacy in patients with Philadelphia chromosome-positive (Ph+) chronic phase CML previously treated with at least one prior TKI and experienced treatment failure, suboptimal response, or treatment intolerance. The dose escalation portion of the CARDINAL trial completed in January 2025 with no dose limiting toxicities observed up to the maximum dose of 500mg QD. Terns initiated the dose expansion portion of the trial in April 2025 with patients randomized to one of two dose cohorts (320mg or 500mg QD) with up to 40 patients per arm. In January 2026, an additional cohort was added to the CARDINAL trial to evaluate TERN-701 500 mg QD in approximately 20 patients with BCR::ABL1 resistance mutations including T315I, M244V, F359I/C/V and others.
About chronic myeloid leukemia
Chronic myeloid leukemia (CML) is a slow growing type of blood cancer that leads to an overproduction of white blood cells that accumulate in the blood and bone marrow, disrupting the production of healthy blood cells. CML is commonly associated with the Philadelphia chromosome, a translocation between chromosomes 9 and 22 that results in constitutive activation of the BCR::ABL1 fusion protein, which fuels cancer growth.
About Merck in hematology
Merck is advancing a pipeline of hematology candidates targeting a diverse range of targets across leukemias, lymphomas and myeloproliferative neoplasms. Candidates in Phase 3 development include: bomedemstat (MK-3543), an investigational, orally available lysine-specific demethylase 1 (LSD1) inhibitor; nemtabrutinib (MK-1026), an investigational, non-covalent Bruton’s tyrosine kinase (BTK) inhibitor; and zilovertamab vedotin (MK-2140), an investigational antibody-drug conjugate (ADC) that targets receptor tyrosine kinase-like orphan receptor 1 (ROR1). Additionally, MK-1045, an investigational CD19xCD3 T-cell engager, is currently being evaluated in a Phase 1b/2 trial.
About Terns Pharmaceuticals
Terns Pharmaceuticals is a clinical-stage oncology company reimagining known biology to deliver high impact medicines. Terns’ lead program, TERN-701, is a highly selective, oral, allosteric BCR::ABL1 inhibitor with a potentially best-in-disease profile that could meaningfully improve upon the efficacy, safety and convenience of existing treatments for chronic myeloid leukemia. For more information, please visit: www.ternspharma.com.</t>
        </is>
      </c>
      <c r="C40" t="inlineStr">
        <is>
          <t>P2</t>
        </is>
      </c>
      <c r="D40" t="inlineStr">
        <is>
          <t>产品动向</t>
        </is>
      </c>
      <c r="E40" s="2">
        <v>46106</v>
      </c>
      <c r="F40" t="inlineStr">
        <is>
          <t>默沙东</t>
        </is>
      </c>
      <c r="G40" t="inlineStr">
        <is>
          <t>药企</t>
        </is>
      </c>
      <c r="H40"/>
      <c r="I40" t="inlineStr">
        <is>
          <t>肿瘤</t>
        </is>
      </c>
      <c r="J40" t="inlineStr">
        <is>
          <t>王宇超</t>
        </is>
      </c>
      <c r="K40" t="inlineStr">
        <is>
          <t>4月</t>
        </is>
      </c>
      <c r="L40" s="3" t="str">
        <f>=HYPERLINK("https://www.merck.com/news/merck-to-acquire-terns-pharmaceuticals-inc-expanding-its-hematology-pipeline-with-tern-701-a-novel-candidate-for-chronic-myeloid-leukemia-cml/", "https://www.merck.com/news/merck-to-acquire-terns-pharmaceuticals-inc-expanding-its-hematology-pipeline-with-tern-701-a-novel-candidate-for-chronic-myeloid-leukemia-cml/")</f>
        <v>https://www.merck.com/news/merck-to-acquire-terns-pharmaceuticals-inc-expanding-its-hematology-pipeline-with-tern-701-a-novel-candidate-for-chronic-myeloid-leukemia-cml/</v>
      </c>
      <c r="M40" t="inlineStr">
        <is>
          <t>03.pdf</t>
        </is>
      </c>
      <c r="N40"/>
      <c r="O40"/>
    </row>
    <row r="41" ht="25.5" customHeight="1">
      <c r="A41" t="inlineStr">
        <is>
          <t>Overcoming T cell tolerance to tumor self-antigens through catch-bond engineering</t>
        </is>
      </c>
      <c r="B41" t="inlineStr">
        <is>
          <t>Structured Abstract
INTRODUCTION
Tumor-associated antigens (TAAs) are a class of targets without underlying mutations that are expressed in both benign and malignant tissues and shared across broad patient populations. TAAs represent promising candidates for T cell–mediated cancer immunotherapy, but central immune tolerance often eliminates T cell clones with high potency for such antigens. Naturally occurring T cell receptors (TCRs) that escape negative selection may exhibit limited efficacy, despite their ability to specifically recognize TAA-derived epitopes presented by major histocompatibility complexes (MHCs). Prostatic acid phosphatase (PAP) is a classic TAA, abundantly expressed only in benign and malignant prostate tissues. Recently identified PAP-specific TCRs from healthy donor peripheral blood exhibit limited cytotoxicity. Engineering strategies that enhance TCR-mediated cytotoxicity without compromising antigen specificity are needed to overcome central tolerance and advance TCR–T cell–based immunotherapies.
RATIONALE
Catch bonds are specialized interactions between TCRs and peptide-MHCs that increase bond lifetimes under mechanical force, extending the dwell time of the complex and augmenting signaling. Catch bonds are activated through TCR contact with antigen-presenting cells that takes place under shear force. By prolonging the interaction between T cells and cancer cells, catch bonds can enhance T cell potency while maintaining physiologically low TCR-MHC affinity and fast off-rates. We hypothesize that introducing catch bonds can convert weak, naturally occurring PAP-specific TCRs into potent and selective therapeutic candidates with minimal sequence modifications, while reducing the possibility of off-target cross-reactivity, as has been seen in affinity-matured TCR–T cells. To evaluate this, a rapid positional scanning approach was developed to identify potential sites for catch-bond engineering.
RESULTS
We established a new pipeline, called “TCR turbocharging,” to rescreen for and introduce catch-bond “hotspots” into TCRs without requiring prior structural information. This strategy was applied to a natural, PAP-reactive, HLA-A*02:01–restricted TCR (TCR156). Catch-bond hotspots were identified within the complementarity-determining region 1 (CDR1) of the TCRα chain. Multiple TCR156 variants with enhanced catch-bond formation were generated, all maintaining physiological TCR-MHC binding affinities (1 to 100 μM). Functional assays and biomembrane force probe measurements demonstrated a positive correlation between TCR-pMHC bond strength and TCR cytotoxic potency. Two candidate TCRs with the longest bond lifetimes—bearing one (S32Mα) or two (S30E32Qα) amino acid substitutions—exhibited significantly enhanced cytotoxicity both in vitro and in vivo. Crystal structures of the wild-type and engineered TCR156 variants revealed minimal structural perturbation after catch bond introduction. Molecular dynamics simulation and yeast MHC library screening suggest that the methionine mutation on the TCR chain indirectly induces an additional interaction between the PAP peptide and the TCR, which increased the specificity of the TCR. Yeast-display MHC library screening also confirmed that catch-bond engineering did not increase off-target reactivity.
CONCLUSION
The TCR turbocharging pipeline successfully enhanced the function of a naturally occurring, weak PAP-specific TCR, producing candidates with strong in vitro and in vivo cytotoxicity. Although a clinical path is envisioned, further preclinical evaluation is needed. This strategy holds promise for broad application to other TAAs, potentially expanding the utility of TCR–T cell immunotherapies and overcoming the limitations imposed by central immune tolerance.
Catch-bond–engineered TCRs exhibit improved antitumor potency.(Left) Catch-bond hotspots were identified in a prostate antigen-specific T cell receptor interacting with the HLA-A2-PAP complex. Substitution of (top middle) the wild-type serine residue in the TCR with (bottom middle) methionine enhanced bond lifetime and resulted in (right) dramatically enhanced tumor elimination in tumor-bearing mice.
Abstract
T cells are often weakly responsive to tumor self-antigens because of central tolerance, constraining their ability to eliminate tumors. We exploited mechanical force to engineer a weakly reactive T cell receptor (TCR) specific for a nonmutated tumor-associated antigen (TAA), prostatic acid phosphatase (PAP). We identified a catch-bonding “hotspot” whose mutation enhanced T cell activity by increasing TCR–pMHC (peptide–major histocompatibility complex) bond lifetime while preserving physiological affinities and antigen fine specificities. T cells expressing these engineered TCRs showed vastly superior expansion in the tumor, effector phenotypes, and tumor elimination. Crystal structures and molecular dynamics simulations revealed a single amino acid mutation at the catch-bond hotspot primes the TCR for peptide interaction through water reorganization at the TCR-pMHC interface. Catch-bond engineering is a viable biophysically based strategy for transforming tolerized antitumor T cells into potent TCR–T cell therapy killers.</t>
        </is>
      </c>
      <c r="C41" t="inlineStr">
        <is>
          <t>P2</t>
        </is>
      </c>
      <c r="D41" t="inlineStr">
        <is>
          <t>技术动向</t>
        </is>
      </c>
      <c r="E41" s="2">
        <v>46100</v>
      </c>
      <c r="F41" t="inlineStr">
        <is>
          <t>Science</t>
        </is>
      </c>
      <c r="G41" t="inlineStr">
        <is>
          <t>学术期刊</t>
        </is>
      </c>
      <c r="H41" t="inlineStr">
        <is>
          <t>🌟</t>
        </is>
      </c>
      <c r="I41" t="inlineStr">
        <is>
          <t>肿瘤</t>
        </is>
      </c>
      <c r="J41" t="inlineStr">
        <is>
          <t>张均好</t>
        </is>
      </c>
      <c r="K41" t="inlineStr">
        <is>
          <t>4月</t>
        </is>
      </c>
      <c r="L41" s="3" t="str">
        <f>=HYPERLINK("https://www.science.org/doi/10.1126/science.adx3162", "Overcoming T cell tolerance to tumor self-antigens through catch-bond engineering | Science")</f>
        <v>Overcoming T cell tolerance to tumor self-antigens through catch-bond engineering | Science</v>
      </c>
      <c r="M41"/>
      <c r="N41"/>
      <c r="O41"/>
    </row>
    <row r="42" ht="25.5" customHeight="1">
      <c r="A42" t="inlineStr">
        <is>
          <t>Dynamic reprogramming of the tumor immune network via multicycle checkpoint degradation for cancer immunotherapy</t>
        </is>
      </c>
      <c r="B42" t="inlineStr">
        <is>
          <t>Abstract
The efficacy of immune checkpoint blockade is often limited by intrinsic immunosuppressive networks within the tumor immune microenvironment (TIME). Despite progress in cancer treatment, current extracellular targeted protein degradation approaches often overlook the multicellular distribution and crosstalk of immune checkpoints. Here we reported a Receptor-mediated Endolysosomal recYcling Chimera (RECYC) platform. RECYC employs a CI-M6PR-targeting aptamer that remains stable across late endosomal pH and a protein-binding peptide with moderate affinity and pH responsiveness, which together drive recycling and sustained checkpoint clearance. In ex vivo co-culture and in vivo murine models, RECYC efficiently eliminated programmed death-ligand 1 (PD-L1) expression from both tumor cells and tumor-associated myeloid cells (macrophages, neutrophils and dendritic cells). By converting an immunosuppressive TIME to an immunostimulatory state, RECYC remodeled the tumor-immune network in an anti-tumor direction, thereby enhancing CD8+ T cell response and repolarizing immunosuppressive myeloid cells. Moreover, in both immune-cold and immune-hot murine cancer models, RECYC demonstrated superior anti-tumor effect compared to PD-L1 blockade treatment. Collectively, we propose an effective strategy to induce recycling and broad checkpoint clearance in the TIME, which in turn reprograms the multicellular tumor–immune network to achieve durable immunotherapy responses.</t>
        </is>
      </c>
      <c r="C42" t="inlineStr">
        <is>
          <t>P2</t>
        </is>
      </c>
      <c r="D42" t="inlineStr">
        <is>
          <t>技术动向</t>
        </is>
      </c>
      <c r="E42" s="2">
        <v>46083</v>
      </c>
      <c r="F42" t="inlineStr">
        <is>
          <t>PNAS</t>
        </is>
      </c>
      <c r="G42" t="inlineStr">
        <is>
          <t>学术期刊</t>
        </is>
      </c>
      <c r="H42" t="inlineStr">
        <is>
          <t>🌟</t>
        </is>
      </c>
      <c r="I42" t="inlineStr">
        <is>
          <t>免疫, 肿瘤</t>
        </is>
      </c>
      <c r="J42" t="inlineStr">
        <is>
          <t>张均好</t>
        </is>
      </c>
      <c r="K42" t="inlineStr">
        <is>
          <t>4月</t>
        </is>
      </c>
      <c r="L42" s="3" t="str">
        <f>=HYPERLINK("https://www.pnas.org/doi/10.1073/pnas.2525047123", "Dynamic reprogramming of the tumor immune network via multicycle checkpoint degradation for cancer immunotherapy | PNAS")</f>
        <v>Dynamic reprogramming of the tumor immune network via multicycle checkpoint degradation for cancer immunotherapy | PNAS</v>
      </c>
      <c r="M42"/>
      <c r="N42"/>
      <c r="O42"/>
    </row>
    <row r="43" ht="25.5" customHeight="1">
      <c r="A43" t="inlineStr">
        <is>
          <t>Synthetic SIGLEC9-based chimeric switch receptor augments the efficacy of CAR macrophages against glioblastoma</t>
        </is>
      </c>
      <c r="B43" t="inlineStr">
        <is>
          <t>Abstract
Chimeric antigen receptor macrophage (CAR-M) therapy represents a promising therapeutic approach for treating glioblastoma multiforme (GBM). However, durable antitumorigenic macrophage phenotype of CAR-Ms is limited by the highly immunosuppressive tumor microenvironment (TME), wherein Siglec–sialic acid signaling directly drives macrophage polarization toward a protumorigenic phenotype. We here report an in situ synthetic SIGLEC9-based chimeric switch receptor (CSR) for diverting the inhibitory signal into positive ones, augmenting the sustained proinflammatory phenotype and tumoricidal immunity of CAR-Ms in the GBM niche. Specifically, our results showed that macrophage-targeted ionizable lipid nanoparticles efficiently introduce dual circRNAs into macrophages to generate CSR functionalized CAR-Ms in vitro and in vivo. The modified macrophages maintained a proinflammatory state, exhibited superior phagocytic activity, resulting in rapid and efficient eradication of IL13Rα2-positive tumor cells. Moreover, an injectable nanoparticle–hydrogel system for reprogramming macrophages surrounding the glioma resection cavity initiated a locoregional antitumor immune response and elicited robust long-term immunological memory, inhibiting tumor relapse in the postoperative GBM model. In sum, our findings establish that the engineered SIGLEC9-based CSR significantly promotes the maintenance of an antitumoral phenotype of CAR-Ms in the hypersialylated acidic TME, contributing to the improvement of engineered macrophage-based immunotherapy against GBM.</t>
        </is>
      </c>
      <c r="C43" t="inlineStr">
        <is>
          <t>P2</t>
        </is>
      </c>
      <c r="D43" t="inlineStr">
        <is>
          <t>技术动向</t>
        </is>
      </c>
      <c r="E43" s="2">
        <v>46098</v>
      </c>
      <c r="F43" t="inlineStr">
        <is>
          <t>PNAS</t>
        </is>
      </c>
      <c r="G43" t="inlineStr">
        <is>
          <t>学术期刊</t>
        </is>
      </c>
      <c r="H43" t="inlineStr">
        <is>
          <t>🌟</t>
        </is>
      </c>
      <c r="I43" t="inlineStr">
        <is>
          <t>肿瘤, 免疫</t>
        </is>
      </c>
      <c r="J43" t="inlineStr">
        <is>
          <t>张均好</t>
        </is>
      </c>
      <c r="K43" t="inlineStr">
        <is>
          <t>4月</t>
        </is>
      </c>
      <c r="L43" s="3" t="str">
        <f>=HYPERLINK("https://www.pnas.org/doi/10.1073/pnas.2519819123", "Synthetic SIGLEC9-based chimeric switch receptor augments the efficacy of CAR macrophages against glioblastoma | PNAS")</f>
        <v>Synthetic SIGLEC9-based chimeric switch receptor augments the efficacy of CAR macrophages against glioblastoma | PNAS</v>
      </c>
      <c r="M43"/>
      <c r="N43"/>
      <c r="O43"/>
    </row>
    <row r="44" ht="25.5" customHeight="1">
      <c r="A44" t="inlineStr">
        <is>
          <t>Roche launches NVIDIA AI factory to accelerate the development of new therapeutics and diagnostics solutions</t>
        </is>
      </c>
      <c r="B44" t="inlineStr">
        <is>
          <t>With the addition of 2,176 NVIDIA Blackwell GPUs, Roche now operates the pharmaceutical industry’s largest announced hybrid-cloud AI factory, totaling more than 3,500 GPUs.</t>
        </is>
      </c>
      <c r="C44" t="inlineStr">
        <is>
          <t>P3</t>
        </is>
      </c>
      <c r="D44" t="inlineStr">
        <is>
          <t>技术动向</t>
        </is>
      </c>
      <c r="E44" s="2">
        <v>46097</v>
      </c>
      <c r="F44" t="inlineStr">
        <is>
          <t>罗氏</t>
        </is>
      </c>
      <c r="G44" t="inlineStr">
        <is>
          <t>药企</t>
        </is>
      </c>
      <c r="H44"/>
      <c r="I44" t="inlineStr">
        <is>
          <t>新药审批</t>
        </is>
      </c>
      <c r="J44" t="inlineStr">
        <is>
          <t>贺岩</t>
        </is>
      </c>
      <c r="K44" t="inlineStr">
        <is>
          <t>4月</t>
        </is>
      </c>
      <c r="L44" s="3" t="str">
        <f>=HYPERLINK("https://www.roche.com/media/releases/med-cor-2026-03-16", "https://www.roche.com/media/releases/med-cor-2026-03-16")</f>
        <v>https://www.roche.com/media/releases/med-cor-2026-03-16</v>
      </c>
      <c r="M44" t="inlineStr">
        <is>
          <t>Roche launches NVIDIA AI factory to accelerate the development of new therapeutics and diagnostics solutions.pdf</t>
        </is>
      </c>
      <c r="N44"/>
      <c r="O44"/>
    </row>
    <row r="45" ht="25.5" customHeight="1">
      <c r="A45" t="inlineStr">
        <is>
          <t>Roche inaugurates new research home for the Institute of Human Biology, pioneering human model systems to accelerate drug discovery and development</t>
        </is>
      </c>
      <c r="B45" t="inlineStr">
        <is>
          <t>The new building is part of a CHF 1.4 billion site investment, reinforcing Roche’s commitment to Switzerland and the Basel life sciences cluster
这座新建筑是14亿瑞士法郎园区投资项目的一部分，这进一步彰显了罗氏对瑞士以及巴塞尔生命科学集群的承诺
The Institute of Human Biology (IHB) enables scientists to pioneer human model systems, accelerating the development of new medicines to improve the lives of patients
人类生物学研究所（IHB）助力科学家开创人类模型系统，加速新药研发，以改善患者的生活。
Federal Councillor Elisabeth Baume-Schneider, Head of the Federal Department of Home Affairs (FDHA), will attend the official opening ceremony
瑞士联邦内政部（FDHA）部长伊丽莎白·鲍姆-施耐德将出席官方开幕仪式</t>
        </is>
      </c>
      <c r="C45" t="inlineStr">
        <is>
          <t>P3</t>
        </is>
      </c>
      <c r="D45" t="inlineStr">
        <is>
          <t>技术动向</t>
        </is>
      </c>
      <c r="E45" s="2">
        <v>46107</v>
      </c>
      <c r="F45" t="inlineStr">
        <is>
          <t>罗氏</t>
        </is>
      </c>
      <c r="G45" t="inlineStr">
        <is>
          <t>药企</t>
        </is>
      </c>
      <c r="H45"/>
      <c r="I45" t="inlineStr">
        <is>
          <t>新药审批</t>
        </is>
      </c>
      <c r="J45" t="inlineStr">
        <is>
          <t>贺岩</t>
        </is>
      </c>
      <c r="K45" t="inlineStr">
        <is>
          <t>4月</t>
        </is>
      </c>
      <c r="L45" s="3" t="str">
        <f>=HYPERLINK("https://www.roche.com/media/releases/med-cor-2026-03-23", "https://www.roche.com/media/releases/med-cor-2026-03-23")</f>
        <v>https://www.roche.com/media/releases/med-cor-2026-03-23</v>
      </c>
      <c r="M45" t="inlineStr">
        <is>
          <t>Roche inaugurates new research home for the Institute of Human Biology, pioneering human model systems to accelerate drug discovery and development.pdf</t>
        </is>
      </c>
      <c r="N45"/>
      <c r="O45"/>
    </row>
    <row r="46" ht="25.5" customHeight="1">
      <c r="A46" t="inlineStr">
        <is>
          <t>Novartis agrees to acquire a pan-mutant-selective PI3Kα inhibitor, strengthening its breast cancer pipeline</t>
        </is>
      </c>
      <c r="B46" t="inlineStr">
        <is>
          <t>Basel, March 20, 2026 – Novartis today announced that it has entered into an agreement with Synnovation Therapeutics, LLC to acquire SNV4818, a pan-mutant‑selective PI3Kα inhibitor, exploring a next-generation approach for the treatment of patients with HR+/HER2- breast cancer and potentially other solid tumor indications.</t>
        </is>
      </c>
      <c r="C46" t="inlineStr">
        <is>
          <t>P3</t>
        </is>
      </c>
      <c r="D46" t="inlineStr">
        <is>
          <t>产品动向</t>
        </is>
      </c>
      <c r="E46" s="2">
        <v>46101</v>
      </c>
      <c r="F46" t="inlineStr">
        <is>
          <t>诺华</t>
        </is>
      </c>
      <c r="G46" t="inlineStr">
        <is>
          <t>药企</t>
        </is>
      </c>
      <c r="H46"/>
      <c r="I46" t="inlineStr">
        <is>
          <t>肿瘤</t>
        </is>
      </c>
      <c r="J46" t="inlineStr">
        <is>
          <t>贺岩</t>
        </is>
      </c>
      <c r="K46" t="inlineStr">
        <is>
          <t>4月</t>
        </is>
      </c>
      <c r="L46" s="3" t="str">
        <f>=HYPERLINK("https://www.novartis.com/news/media-releases/novartis-agrees-acquire-pan-mutant-selective-pi3ka-inhibitor-strengthening-its-breast-cancer-pipeline", "https://www.novartis.com/news/media-releases/novartis-agrees-acquire-pan-mutant-selective-pi3ka-inhibitor-strengthening-its-breast-cancer-pipeline")</f>
        <v>https://www.novartis.com/news/media-releases/novartis-agrees-acquire-pan-mutant-selective-pi3ka-inhibitor-strengthening-its-breast-cancer-pipeline</v>
      </c>
      <c r="M46" t="inlineStr">
        <is>
          <t>Novartis agrees to acquire a pan-mutant-selective PI3Kα inhibitor, strengthening its breast cancer pipeline.pdf</t>
        </is>
      </c>
      <c r="N46"/>
      <c r="O46"/>
    </row>
    <row r="47" ht="25.5" customHeight="1">
      <c r="A47" t="inlineStr">
        <is>
          <t>Open Label Outpatient Switch Study Demonstrates Symptom Stability During Transition from Oral Atypical Antipsychotics to Cobenfy™ (xanomeline and trospium chloride)</t>
        </is>
      </c>
      <c r="B47" t="inlineStr">
        <is>
          <t>On March 28, 2026, Bristol Myers Squibb announced data from a Phase 4 open-label trial evaluating symptom stability, safety and tolerability of Cobenfy (xanomeline and trospium chloride) when switching adult outpatients with schizophrenia from oral atypical antipsychotics to Cobenfy monotherapy. In this 8-week study of 105 patients comparing faster 2-week and slower 4-week cross-titration strategies, patients remained stable with mean PANSS total score changes of -4.2 and -3.1 respectively, mean CGI-S score changes of -0.2 in both groups, approximately 86% completing treatment with no discontinuations due to lack of efficacy, 49% experiencing treatment-emergent adverse events with none serious, and no new safety signals observed, providing important evidence for treatment switch strategies in clinical practice. Data were presented at the 2026 Annual Congress of the Schizophrenia International Research Society.</t>
        </is>
      </c>
      <c r="C47" t="inlineStr">
        <is>
          <t>P4</t>
        </is>
      </c>
      <c r="D47" t="inlineStr">
        <is>
          <t>产品动向</t>
        </is>
      </c>
      <c r="E47" s="2">
        <v>46109</v>
      </c>
      <c r="F47" t="inlineStr">
        <is>
          <t>BMS</t>
        </is>
      </c>
      <c r="G47" t="inlineStr">
        <is>
          <t>药企</t>
        </is>
      </c>
      <c r="H47"/>
      <c r="I47" t="inlineStr">
        <is>
          <t>新药审批</t>
        </is>
      </c>
      <c r="J47" t="inlineStr">
        <is>
          <t>朱伊</t>
        </is>
      </c>
      <c r="K47" t="inlineStr">
        <is>
          <t>4月</t>
        </is>
      </c>
      <c r="L47" s="3" t="str">
        <f>=HYPERLINK("https://news.bms.com/news/details/2026/Open-Label-Outpatient-Switch-Study-Demonstrates-Symptom-Stability-During-Transition-from-Oral-Atypical-Antipsychotics-to-Cobenfy-xanomeline-and-trospium-chloride/default.aspx", "https://news.bms.com/news/details/2026/Open-Label-Outpatient-Switch-Study-Demonstrates-Symptom-Stability-During-Transition-from-Oral-Atypical-Antipsychotics-to-Cobenfy-xanomeline-and-trospium-chloride/default.aspx")</f>
        <v>https://news.bms.com/news/details/2026/Open-Label-Outpatient-Switch-Study-Demonstrates-Symptom-Stability-During-Transition-from-Oral-Atypical-Antipsychotics-to-Cobenfy-xanomeline-and-trospium-chloride/default.aspx</v>
      </c>
      <c r="M47" t="inlineStr">
        <is>
          <t>Bristol Myers Squibb - Open Label Outpa...fy™ (xanomeline and trospium chloride).pdf</t>
        </is>
      </c>
      <c r="N47"/>
      <c r="O47"/>
    </row>
    <row r="48" ht="25.5" customHeight="1">
      <c r="A48" t="inlineStr">
        <is>
          <t>Novartis agrees to acquire Excellergy, Inc., building on allergy leadership with next-generation anti-IgE innovation</t>
        </is>
      </c>
      <c r="B48" t="inlineStr">
        <is>
          <t>Basel, March 27, 2026 – Novartis today announced that it has entered into an agreement to acquire Excellergy, Inc., a private biotech company developing next-generation anti-IgE therapies for IgE-driven diseases. The proposed acquisition adds Exl-111, a half-life extended, high-affinity anti-IgE antibody in Phase 1.</t>
        </is>
      </c>
      <c r="C48" t="inlineStr">
        <is>
          <t>P4</t>
        </is>
      </c>
      <c r="D48" t="inlineStr">
        <is>
          <t>技术动向</t>
        </is>
      </c>
      <c r="E48" s="2">
        <v>46108</v>
      </c>
      <c r="F48" t="inlineStr">
        <is>
          <t>诺华</t>
        </is>
      </c>
      <c r="G48" t="inlineStr">
        <is>
          <t>药企</t>
        </is>
      </c>
      <c r="H48"/>
      <c r="I48" t="inlineStr">
        <is>
          <t>免疫</t>
        </is>
      </c>
      <c r="J48" t="inlineStr">
        <is>
          <t>贺岩</t>
        </is>
      </c>
      <c r="K48" t="inlineStr">
        <is>
          <t>4月</t>
        </is>
      </c>
      <c r="L48" s="3" t="str">
        <f>=HYPERLINK("https://www.novartis.com/news/media-releases/novartis-agrees-acquire-excellergy-inc-building-allergy-leadership-next-generation-anti-ige-innovation", "https://www.novartis.com/news/media-releases/novartis-agrees-acquire-excellergy-inc-building-allergy-leadership-next-generation-anti-ige-innovation")</f>
        <v>https://www.novartis.com/news/media-releases/novartis-agrees-acquire-excellergy-inc-building-allergy-leadership-next-generation-anti-ige-innovation</v>
      </c>
      <c r="M48" t="inlineStr">
        <is>
          <t>Novartis agrees to acquire Excellergy, Inc., building on allergy leadership with next-generation anti-IgE innovation.pdf</t>
        </is>
      </c>
      <c r="N48"/>
      <c r="O48"/>
    </row>
    <row r="49" ht="25.5" customHeight="1">
      <c r="A49" t="inlineStr">
        <is>
          <t>AbbVie Announces Positive Topline Results from a Phase 1 Multiple Ascending Dose Study of ABBV-295, a Long-Acting Amylin Analog, in Adults</t>
        </is>
      </c>
      <c r="B49" t="inlineStr">
        <is>
          <t xml:space="preserve">ABBV-295 treatment showed clinically meaningful body weight reduction from -7.75% to -9.79% (least-squares mean) at week 12 (weekly dosing), to -7.86% to -9.73% at week 13 (every other week and monthly dosing after week 5)1
ABBV-295 demonstrated a favorable tolerability profile at all evaluated dose levels.  No serious adverse events were reported1
Data support continued development of ABBV-295 as a potentially differentiated treatment for chronic weight management, with a non-incretin-based mechanism of action
NORTH CHICAGO, Ill., March 9, 2026 /PRNewswire/ -- AbbVie (NYSE: ABBV) today announced positive topline results1 from the multiple ascending dose (MAD) part of its Phase 1 study evaluating the safety, tolerability, pharmacokinetics (PK), and pharmacodynamics (PD) of subcutaneous ABBV-295, in adults with a mean body mass index (BMI) of less than 30 kg/m2. ABBV-295 is a long-acting amylin analog that represents a mechanistically distinct class from incretin-based therapies such as GLP-1 and GIP receptor agonists.  
Study enrollment mostly comprised male participants (88.3%). Different doses (2-14 mg), titrations and dose frequencies were tested in the study. ABBV-295 was generally well tolerated across all dose levels evaluated. The most commonly reported adverse events were gastrointestinal disorders, which were mostly mild, and predominantly occurred during the first 6 weeks of treatment.1
ABBV-295 demonstrated clinically meaningful, dose-dependent reductions in body weight from baseline, over a 12-13-week treatment period. In the ABBV-295 treated groups dose-dependent least-squares (LS) mean percentage change in body weight ranged from -7.75% to -9.79% at week 12 (for weekly dosing groups), to -7.86% to -9.73% at week 13 (for every other week dosing group and monthly dosing group after week 5), compared to -0.26% and -0.25% in the placebo group at week 12 and week 13, respectively.1 
"Obesity is a complex, chronic disease that places a substantial burden on patients, healthcare systems and society, and there remains a critical need for therapies that combine efficacy with tolerability and support long-term adherence," said Primal Kaur, M.D., senior vice president, global development of immunology, neuroscience, eye care and specialty at AbbVie. "We are encouraged by these early results for ABBV-295, which demonstrate meaningful weight loss together with a well-tolerated safety profile. These initial results further reinforce the potential of ABBV-295 as a novel therapeutic option for people living with obesity."
Results from the single ascending doses (SAD) part and other cohorts from the MAD part of the study were announced previously. Full data from the study will be presented at a future scientific conference.
Summary of Phase 1 MAD Study Key Results1 (Percent Change from Baseline in Body Weight at Week 12 and Week 13)
Cohorta
LS Mean (95% CI) at week 12b
LS Mean (95% CI) at week 13b
All Placebo
-0.26 (-1.89, 1.37)
-0.25 (-1.88, 1.38)
Cohort 3 (weekly dosing)
-7.75 (-9.89, -5.61)
-
Cohort 4 (weekly dosing)
-8.70 (-10.75, -6.65)
-
Cohort 5a (weekly dosing)
-9.79 (-11.99, -7.59)
-
Cohort 5b (every other week dosing)
-7.76 (-9.82, -5.70)
-9.73 (-11.79, -7.67)
Cohort 6 (monthly dosing after week 5)
-6.74 (-8.70, -4.79)
-7.86 (-9.80, -5.91)
a Doses from 2mg to 14mg were tested using different dose escalations and dosing frequencies.
b LS mean estimates were derived using a Mixed Model for Repeated Measures (MMRM). Participants were required to adhere to the dosing plan and those unable to continue treatment were withdrawn from the study with no further efficacy data collected.
About ABBV-295
ABBV-295 is an investigational, long-acting amylin analog being developed for the treatment of obesity. It is an agonist that specifically activates amylin and calcitonin receptors. Amylin, a satiety hormone, has been identified as a potential therapeutic target for the treatment of obesity given its role in activating signals to the brain that result in appetite suppression and the reduction of food intake, while also acting as an inhibitory signal to delay gastric emptying. ABBV-295 has not been approved by any health regulatory authority worldwide. The safety and efficacy of ABBV-295 have not been established.
About the Phase 1 GUC17-01 Study
The Phase 1 clinical trial is a two-part, single center, double-blind (within cohorts), randomized, placebo-controlled, single (Part 1) and multiple (Part 2) ascending dose study of subcutaneous ABBV-295 (GUB014295). A total of 76 participants were enrolled in the MAD study. More information on this trial can be found at https://www.clinicaltrials.gov/ (NCT06144684). </t>
        </is>
      </c>
      <c r="C49" t="inlineStr">
        <is>
          <t>P4</t>
        </is>
      </c>
      <c r="D49" t="inlineStr">
        <is>
          <t>产品动向</t>
        </is>
      </c>
      <c r="E49" s="2">
        <v>46090</v>
      </c>
      <c r="F49" t="inlineStr">
        <is>
          <t>艾伯维</t>
        </is>
      </c>
      <c r="G49" t="inlineStr">
        <is>
          <t>药企</t>
        </is>
      </c>
      <c r="H49"/>
      <c r="I49" t="inlineStr">
        <is>
          <t>基因治疗</t>
        </is>
      </c>
      <c r="J49" t="inlineStr">
        <is>
          <t>王宇超</t>
        </is>
      </c>
      <c r="K49" t="inlineStr">
        <is>
          <t>4月</t>
        </is>
      </c>
      <c r="L49" s="3" t="str">
        <f>=HYPERLINK("https://news.abbvie.com/2026-03-09-AbbVie-Announces-Positive-Topline-Results-from-a-Phase-1-Multiple-Ascending-Dose-Study-of-ABBV-295,-a-Long-Acting-Amylin-Analog,-in-Adults", "https://news.abbvie.com/2026-03-09-AbbVie-Announces-Positive-Topline-Results-from-a-Phase-1-Multiple-Ascending-Dose-Study-of-ABBV-295,-a-Long-Acting-Amylin-Analog,-in-Adults")</f>
        <v>https://news.abbvie.com/2026-03-09-AbbVie-Announces-Positive-Topline-Results-from-a-Phase-1-Multiple-Ascending-Dose-Study-of-ABBV-295,-a-Long-Acting-Amylin-Analog,-in-Adults</v>
      </c>
      <c r="M49" t="inlineStr">
        <is>
          <t>05.pdf</t>
        </is>
      </c>
      <c r="N49"/>
      <c r="O49"/>
    </row>
    <row r="50" ht="25.5" customHeight="1">
      <c r="A50" t="inlineStr">
        <is>
          <t>Meningeal blood vessel blockage enhances anti-glioblastoma immunity</t>
        </is>
      </c>
      <c r="B50" t="inlineStr">
        <is>
          <t>Summary
The dura mater, the outermost meningeal layer that samples and presents central nervous system (CNS)-derived antigens, is a pivotal interface for CNS immunosurveillance. Here, we show that meningeal blood vessel blockage effectively suppresses glioblastoma (GBM) progression in murine models. Single-cell profiling of dura reveals a resident border-associated macrophage (rBAM) subset characterized by high neonatal Fc receptor expression, which endows rBAMs with superior capacity for presenting tumor antigens and activating CNS-patrolling T cells. Meningeal blood vessel blockage preserves dural colony-stimulating factor 1 (CSF-1) levels by restricting circulation-derived BAM (cBAM) and expands the rBAM pool, thereby enhancing T cell activation at the dura interface and amplifying intratumoral cytotoxic T cell responses. Clinically, rBAM abundance positively correlates with GBM patient survival. Our findings show that the dura is a critical regulator of anti-tumor immunity in CNS cancers and propose that meningeal blood vessel blockage may be a surgical strategy to potentiate GBM immunotherapy.
Graphical abstract
</t>
        </is>
      </c>
      <c r="C50" t="inlineStr">
        <is>
          <t>P4</t>
        </is>
      </c>
      <c r="D50" t="inlineStr">
        <is>
          <t>技术动向</t>
        </is>
      </c>
      <c r="E50" s="2">
        <v>46086</v>
      </c>
      <c r="F50" t="inlineStr">
        <is>
          <t>Cell</t>
        </is>
      </c>
      <c r="G50" t="inlineStr">
        <is>
          <t>学术期刊</t>
        </is>
      </c>
      <c r="H50" t="inlineStr">
        <is>
          <t>🌟🌟</t>
        </is>
      </c>
      <c r="I50" t="inlineStr">
        <is>
          <t>肿瘤, 免疫</t>
        </is>
      </c>
      <c r="J50" t="inlineStr">
        <is>
          <t>张均好</t>
        </is>
      </c>
      <c r="K50" t="inlineStr">
        <is>
          <t>4月</t>
        </is>
      </c>
      <c r="L50" s="3" t="str">
        <f>=HYPERLINK("https://www.cell.com/cell/abstract/S0092-8674(25)01494-1", "Meningeal blood vessel blockage enhances anti-glioblastoma immunity: Cell")</f>
        <v>Meningeal blood vessel blockage enhances anti-glioblastoma immunity: Cell</v>
      </c>
      <c r="M50"/>
      <c r="N50"/>
      <c r="O50"/>
    </row>
    <row r="51" ht="25.5" customHeight="1">
      <c r="A51" t="inlineStr">
        <is>
          <t>Novartis presents new data on early symptom relief and long-term control in complex skin diseases at AAD 2026</t>
        </is>
      </c>
      <c r="B51" t="inlineStr">
        <is>
          <t>Basel, March 23, 2026 2026年3月23日，巴塞尔– Novartis will present data from more than 20 abstracts from its growing immunology portfolio at this year’s American Academy of Dermatology (AAD) Annual Meeting.</t>
        </is>
      </c>
      <c r="C51" t="inlineStr">
        <is>
          <t>P4</t>
        </is>
      </c>
      <c r="D51" t="inlineStr">
        <is>
          <t>产品动向</t>
        </is>
      </c>
      <c r="E51" s="2">
        <v>46104</v>
      </c>
      <c r="F51" t="inlineStr">
        <is>
          <t>诺华</t>
        </is>
      </c>
      <c r="G51" t="inlineStr">
        <is>
          <t>药企</t>
        </is>
      </c>
      <c r="H51"/>
      <c r="I51" t="inlineStr">
        <is>
          <t>免疫</t>
        </is>
      </c>
      <c r="J51" t="inlineStr">
        <is>
          <t>贺岩</t>
        </is>
      </c>
      <c r="K51" t="inlineStr">
        <is>
          <t>4月</t>
        </is>
      </c>
      <c r="L51" s="3" t="str">
        <f>=HYPERLINK("https://www.novartis.com/news/media-releases/novartis-presents-new-data-early-symptom-relief-and-long-term-control-complex-skin-diseases-aad-2026", "https://www.novartis.com/news/media-releases/novartis-presents-new-data-early-symptom-relief-and-long-term-control-complex-skin-diseases-aad-2026")</f>
        <v>https://www.novartis.com/news/media-releases/novartis-presents-new-data-early-symptom-relief-and-long-term-control-complex-skin-diseases-aad-2026</v>
      </c>
      <c r="M51" t="inlineStr">
        <is>
          <t>Novartis presents new data on early symptom relief and long-term control in complex skin diseases at AAD 2026.pdf</t>
        </is>
      </c>
      <c r="N51"/>
      <c r="O51"/>
    </row>
    <row r="52" ht="25.5" customHeight="1">
      <c r="A52" t="inlineStr">
        <is>
          <t>Cancer interception with KRAS inhibitors in preclinical models of pancreatic ductal adenocarcinoma</t>
        </is>
      </c>
      <c r="B52" t="inlineStr">
        <is>
          <t>Abstract
Transformation of pancreatic epithelial cells to malignant pancreatic ductal adenocarcinoma (PDAC) typically involves the progression of precancerous pancreatic intraepithelial neoplasia (PanINs) bearing oncogenic KRAS mutations. Here, we tested the impact of PDAC interception using either RAS(ON) multiselective or RAS(ON) G12D-selective pharmacological inhibitors [RAS(ON) inhibitors] in mouse models of PDAC. Treatment of PanIN-bearing mice with RAS(ON) inhibitors prompted regression of premalignant lesions that translated into a delay in tumor onset and an increase in overall survival (OS). Long-term interception in tumor-prone mice resulted in a median OS of more than 1 year compared with less than 5 months in nonintercepted control mice (P &lt; 0.0001). Comparing the survival benefits of RAS(ON) inhibition for cancer interception versus RAS(ON) inhibition for cancer treatment, we found that interception provided a greater survival benefit to mice. These findings suggest that a pharmacological approach may reduce premalignant burden and increase survival in PDAC.</t>
        </is>
      </c>
      <c r="C52" t="inlineStr">
        <is>
          <t>P4</t>
        </is>
      </c>
      <c r="D52" t="inlineStr">
        <is>
          <t>产品动向</t>
        </is>
      </c>
      <c r="E52" s="2">
        <v>46093</v>
      </c>
      <c r="F52" t="inlineStr">
        <is>
          <t>Science</t>
        </is>
      </c>
      <c r="G52" t="inlineStr">
        <is>
          <t>学术期刊</t>
        </is>
      </c>
      <c r="H52" t="inlineStr">
        <is>
          <t>🌟</t>
        </is>
      </c>
      <c r="I52" t="inlineStr">
        <is>
          <t>肿瘤</t>
        </is>
      </c>
      <c r="J52" t="inlineStr">
        <is>
          <t>张均好</t>
        </is>
      </c>
      <c r="K52" t="inlineStr">
        <is>
          <t>4月</t>
        </is>
      </c>
      <c r="L52" s="3" t="str">
        <f>=HYPERLINK("https://www.science.org/doi/10.1126/science.aec7929", "Cancer interception with KRAS inhibitors in preclinical models of pancreatic ductal adenocarcinoma | Science")</f>
        <v>Cancer interception with KRAS inhibitors in preclinical models of pancreatic ductal adenocarcinoma | Science</v>
      </c>
      <c r="M52"/>
      <c r="N52"/>
      <c r="O52"/>
    </row>
    <row r="53" ht="25.5" customHeight="1">
      <c r="A53" t="inlineStr">
        <is>
          <t>Divergent tumor immunity determined by bacteria-cancer cell engagement</t>
        </is>
      </c>
      <c r="B53" t="inlineStr">
        <is>
          <t>Summary
Intratumor bacteria represent an understudied yet influential component of the cancer ecosystem, critically impinging cancer progression. In PyMT breast tumors, we find intracellular bacteria, when residing in cancer cell cytosol, promote metastasis by triggering cytosolic double-stranded DNA (dsDNA) accumulation, which in turn activates the tumor intrinsic cGAS-STING-interleukin (IL)-17B pathway and redirects neutrophils toward a protumor phenotype that inhibits cytotoxic T cells. By contrast, the same strain of bacteria, when present extracellularly, induces antitumor neutrophil activity without engaging the STING pathway. Physiologically, eliminating intracellular bacteria, or therapeutically introducing extracellular bacteria components, abrogates immunosuppression and prevents postsurgical metastatic recurrence in preclinical models. Clinically, the bacteria invasion signature we have developed is associated with poor prognosis in patients with breast cancer. In summary, the spatial interplay between bacteria and host cells in metastatic niches can shape divergent tumor immunity, highlighting bacterial-host engagement as a crucial determinant of cancer immune regulation and a potential therapeutic target.</t>
        </is>
      </c>
      <c r="C53" t="inlineStr">
        <is>
          <t>P4</t>
        </is>
      </c>
      <c r="D53" t="inlineStr">
        <is>
          <t>技术动向</t>
        </is>
      </c>
      <c r="E53" s="2">
        <v>46100</v>
      </c>
      <c r="F53" t="inlineStr">
        <is>
          <t>Cell</t>
        </is>
      </c>
      <c r="G53" t="inlineStr">
        <is>
          <t>学术期刊</t>
        </is>
      </c>
      <c r="H53" t="inlineStr">
        <is>
          <t>🌟</t>
        </is>
      </c>
      <c r="I53" t="inlineStr">
        <is>
          <t>肿瘤, 免疫</t>
        </is>
      </c>
      <c r="J53" t="inlineStr">
        <is>
          <t>张均好</t>
        </is>
      </c>
      <c r="K53" t="inlineStr">
        <is>
          <t>4月</t>
        </is>
      </c>
      <c r="L53" s="3" t="str">
        <f>=HYPERLINK("https://www.cell.com/cell/fulltext/S0092-8674(25)01493-X", "Divergent tumor immunity determined by bacteria-cancer cell engagement: Cell")</f>
        <v>Divergent tumor immunity determined by bacteria-cancer cell engagement: Cell</v>
      </c>
      <c r="M53"/>
      <c r="N53"/>
      <c r="O53"/>
    </row>
    <row r="54" ht="25.5" customHeight="1">
      <c r="A54" t="inlineStr">
        <is>
          <t>Structural modeling reveals phage proteins that manipulate bacterial immune signaling</t>
        </is>
      </c>
      <c r="B54" t="inlineStr">
        <is>
          <t>Structured Abstract
INTRODUCTION
Many innate immune pathways in bacteria, plants, and animals use nucleotide derivatives as intracellular immune signaling molecules. Phages have evolved counterdefense “sponge” proteins that inhibit bacterial immune signaling by binding and sequestering the immune signals as well as enzymes that can cleave and inactivate the signaling molecules. A few antidefense sponge and enzyme protein families were recently discovered serendipitously, suggesting that they are abundant among phages. Our goal was to develop an unbiased approach to computationally predict and experimentally verify previously unknown families of antidefense enzymes and sponge proteins within vast databases of viral protein sequences.
RATIONALE
We reasoned that, despite their divergence in sequence and structure, viral proteins that target nucleotide signals might share common structural and biophysical traits arising from their shared function. By comparing the structures of known viral sponge proteins, we identified unifying features: they are small (typically ≤100 amino acids); form homo-oligomeric assemblies; and have deep, positively charged pockets that bind the negatively charged nucleotide signals. We also found that sponges from different families are frequently encoded fused as a single polypeptide. We hypothesized that these structural fingerprints could be used to discover viral sponges through structural modeling of large sets of viral proteins.
RESULTS
We built a structure-guided computational pipeline that searches viral protein databases either for proteins fused with known sponges or for small, unannotated proteins predicted by AlphaFold-Multimer to form homo-oligomers with internal positively charged pockets. Screening a clustered database of 32 million proteins from 2 million phage genomes resulted in &gt;120 candidate proteins that were experimentally tested for their ability to inhibit bacterial immune signaling. This resulted in the discovery of three previously unidentified families of phage-encoded antidefense proteins. Two families, Sequestin and Lockin, are sponges that sequester the Thoeris immune signaling molecules 1′′–3′ glycocyclic adenosine diphosphate–ribose (3′cADPR) and histidine conjugated to ADPR (His-ADPR). A third family, Acb5, was found to inhibit cyclic oligonucleotide–based antiphage signaling system (CBASS) immunity by enzymatically degrading its signaling molecule, cyclic guanosine monophosphate–adenosine monosphosphate (3′3′-cGAMP). Structural modeling, crystallographic analyses, and biochemical assays confirmed the computational predictions and explained how these proteins neutralize the bacterial immune signals. Homologs of these antidefense protein families were found encoded in thousands of viral genomes, including in well-studied phages such as T2, T4, and T6, which suggests that manipulation of host immune signaling is a common and evolutionarily conserved viral strategy.
CONCLUSION
Our work introduces a structure-based discovery framework for detecting viral proteins that manipulate host immune signaling, independent of sequence similarity or prior annotation. The identification of previously undescribed families of viral sponges and nucleotide-cleaving enzymes in thousands of phage genomes demonstrates that these counterdefense strategies are pervasive in the phage world. This approach could be used in the future to discover analogous inhibitors in viruses infecting any organism of choice, including eukaryotes.
</t>
        </is>
      </c>
      <c r="C54" t="inlineStr">
        <is>
          <t>P4</t>
        </is>
      </c>
      <c r="D54" t="inlineStr">
        <is>
          <t>技术动向</t>
        </is>
      </c>
      <c r="E54" s="2">
        <v>46086</v>
      </c>
      <c r="F54" t="inlineStr">
        <is>
          <t>Science</t>
        </is>
      </c>
      <c r="G54" t="inlineStr">
        <is>
          <t>学术期刊</t>
        </is>
      </c>
      <c r="H54" t="inlineStr">
        <is>
          <t>🌟</t>
        </is>
      </c>
      <c r="I54" t="inlineStr">
        <is>
          <t>免疫</t>
        </is>
      </c>
      <c r="J54" t="inlineStr">
        <is>
          <t>张均好</t>
        </is>
      </c>
      <c r="K54" t="inlineStr">
        <is>
          <t>4月</t>
        </is>
      </c>
      <c r="L54" s="3" t="str">
        <f>=HYPERLINK("https://www.science.org/doi/10.1126/science.aea1761", "Structural modeling reveals phage proteins that manipulate bacterial immune signaling | Science")</f>
        <v>Structural modeling reveals phage proteins that manipulate bacterial immune signaling | Science</v>
      </c>
      <c r="M54"/>
      <c r="N54"/>
      <c r="O54"/>
    </row>
    <row r="55" ht="25.5" customHeight="1">
      <c r="A55" t="inlineStr">
        <is>
          <t>Autophagolysosomal exocytosis inverts Src kinase onto the cell surface in cancer</t>
        </is>
      </c>
      <c r="B55" t="inlineStr">
        <is>
          <t>Structured Abstract
INTRODUCTION
Antibody-targeted therapeutics for cancer (e.g., T cell engagers, antibody-based radioligand therapies, and antibody-drug conjugates) require a cancer-associated protein to be displayed on the cell surface at much higher levels than in healthy tissues. Typically, targets are proteins highly up-regulated by cancer cells for survival (e.g., HER2 and EGFR). However, therapies targeting these proteins are limited by the expression of these cell surface targets in healthy tissues. There is therefore a need to find and understand new classes of tumor-associated cell surface proteins that have greater differences in tumor versus healthy tissue expression. Interest in new targets for cancer therapeutics has led to the discovery of new ways to differentiate tumor cells from healthy cells using their cell surface proteins. These differences include genetic mutations specific to cancer, the activities of enzymes yielding new posttranslational modifications, and aberrant protein localization.
RATIONALE
We developed a system to identify cell surface kinase substrates as well as to define a high-resolution cell surface proteome through photo-proximity labeling proteomics. This method allowed us to both identify protein substrates that get phosphorylated on the cell surface and gain insights into the enzymes mediating phosphorylation.
RESULTS
In this work, we found that Src, the master regulatory kinase typically anchored by its N-myristoyl lipid to the inner leaflet of the plasma membrane, was noncanonically translocated to the cell surface through autophagolysosomal exocytosis (ALE). We found additional evidence that other N-myristoylated intracellular proteins could be translocated in a similar fashion. Using cell lines with varying levels of cellular Src (cSrc), we observed that the transport of Src to the cell surface was regulated both by autolysosomal flux and total Src protein level. We observed that extracellular Src (eSrc) was present on the surface of cancer cell lines, whole and disaggregated xenografts, and disaggregated patient tumor samples. We propose that the prevalence of eSrc on cancer cells is likely attributable to both cSrc protein up-regulation in cancer and dysregulated autophagic flux, a hallmark of cancer, leading to translocation and inversion of cSrc by ALE. Additionally, we characterized the cell surface phosphotyrosine substrates of eSrc and showed that eSrc activity promoted cell proliferation. Finally, we demonstrated the translational potential of eSrc as a diagnostic and therapeutic cancer antigen using an anti-Src antibody formulated as a bispecific T cell engager (TCE), an antibody-drug conjugate (ADC), or a radioligand therapeutic (RLT).
CONCLUSION
We describe a class of mislocalized proteins, prototypically the proto-oncogene tyrosine kinase Src. These proteins are N-terminal lipid-modified proteins, canonically anchored to the plasma membrane, that undergo topological inversion through a noncanonical secretory pathway that we elucidate in this work. Collectively, these findings uncover a class of proteins by which cancer cells can be therapeutically targeted with antibodies.
Src is translocated to the cell surface.SRC is translated, the protein is lipidated, and the lipid moiety inserts into the inner leaflet of the plasma membrane. Nucleating phagophore membranes originate from plasma membrane components, carrying Src along. After autophagosome formation, lysosomal fusion occurs, yielding autolysosomes, which can be exocytosed resulting in cell surface presentation of Src. [Figure created in part with BioRender.com]
Abstract
Overexpression of the proto-oncogene Src is common to a wide variety of cancers. In this work, we found that Src is noncanonically translocated and inverted onto the cell surface in cancer, both in vitro and in vivo. We identified autophagolysosomal exocytosis (ALE) as a secretory mechanism prominent in cancer cell lines. Src represents the prototypical example of a family of membrane-anchored proteins that are transported by this process. Furthermore, this extracellular membrane–associated Src (eSrc) was found in primary tumors, and anti-Src antibody-based therapies mediated tumor cell killing in cell culture systems and in mouse xenograft models. Thus, intracellular N-myristoylated proteins, prototypically Src, can be topologically inverted onto the cell surface in cancer and targeted with antibody therapeutics.</t>
        </is>
      </c>
      <c r="C55" t="inlineStr">
        <is>
          <t>P4</t>
        </is>
      </c>
      <c r="D55" t="inlineStr">
        <is>
          <t>技术动向</t>
        </is>
      </c>
      <c r="E55" s="2">
        <v>46093</v>
      </c>
      <c r="F55" t="inlineStr">
        <is>
          <t>Science</t>
        </is>
      </c>
      <c r="G55" t="inlineStr">
        <is>
          <t>学术期刊</t>
        </is>
      </c>
      <c r="H55" t="inlineStr">
        <is>
          <t>🌟</t>
        </is>
      </c>
      <c r="I55" t="inlineStr">
        <is>
          <t>肿瘤</t>
        </is>
      </c>
      <c r="J55" t="inlineStr">
        <is>
          <t>张均好</t>
        </is>
      </c>
      <c r="K55" t="inlineStr">
        <is>
          <t>4月</t>
        </is>
      </c>
      <c r="L55" s="3" t="str">
        <f>=HYPERLINK("https://www.science.org/doi/10.1126/science.aec1778", "Autophagolysosomal exocytosis inverts Src kinase onto the cell surface in cancer | Science")</f>
        <v>Autophagolysosomal exocytosis inverts Src kinase onto the cell surface in cancer | Science</v>
      </c>
      <c r="M55"/>
      <c r="N55"/>
      <c r="O55"/>
    </row>
    <row r="56" ht="25.5" customHeight="1">
      <c r="A56" t="inlineStr">
        <is>
          <t>Reactivation of the silenced BASP1 gene suppresses oncogenic WNT signaling in human colorectal cancer cells</t>
        </is>
      </c>
      <c r="B56" t="inlineStr">
        <is>
          <t>Abstract
Starting from human colon cancer cells showing aberrant WNT/β-catenin/TCF signaling, hyperactivated MYC, and silenced BASP1, we generated stable cell lines overexpressing BASP1, either ectopically, or by reactivating the dormant BASP1 promoter using a lentiviral CRISPR-based system. BASP1 encodes a neuronal signaling protein and transcriptional corepressor, from which tumor-suppressive functions have been described in avian cell systems and in multiple human cancer cell types. Proteome and transcriptome analyses revealed activation of several tumor and metastasis suppressors in BASP1-expressing cells, which also show strong repression of the transformed phenotype in terms of contact inhibition, anchorage-independent growth, and tumor formation. Cells with reactivated BASP1 display a flat and differentiated morphology with enhanced migratory potential, accompanied by expression of multiple genes implicated in actin polymerization, focal adhesion, and neuronal migration. Furthermore, MYC protein expression is substantially repressed due to BASP1-mediated transcriptional MYC downregulation involving BASP1 interaction with β-catenin and binding to the MYC promoter. Upon BASP1 activation, multiple key proteins of the canonical WNT signaling pathway become suppressed. One of these BASP1 targets is the protein kinase TNIK catalyzing phosphorylation of TCF7L2, the latter required for transcriptional MYC activation. Results obtained with a preclinical TNIK inhibitor in human colorectal cancer cells show efficient abrogation of MYC expression and consequently impaired dimerization with its interaction partner MAX. The antagonistic BASP1 effect on MYC and the MYC dependency on TNIK could enhance the development of strategies to interfere with oncogenic functions of the cancer driver MYC.</t>
        </is>
      </c>
      <c r="C56" t="inlineStr">
        <is>
          <t>P4</t>
        </is>
      </c>
      <c r="D56" t="inlineStr">
        <is>
          <t>技术动向</t>
        </is>
      </c>
      <c r="E56" s="2">
        <v>46086</v>
      </c>
      <c r="F56" t="inlineStr">
        <is>
          <t>PNAS</t>
        </is>
      </c>
      <c r="G56" t="inlineStr">
        <is>
          <t>学术期刊</t>
        </is>
      </c>
      <c r="H56" t="inlineStr">
        <is>
          <t>🌟</t>
        </is>
      </c>
      <c r="I56" t="inlineStr">
        <is>
          <t>肿瘤</t>
        </is>
      </c>
      <c r="J56" t="inlineStr">
        <is>
          <t>张均好</t>
        </is>
      </c>
      <c r="K56" t="inlineStr">
        <is>
          <t>4月</t>
        </is>
      </c>
      <c r="L56" s="3" t="str">
        <f>=HYPERLINK("https://www.pnas.org/doi/10.1073/pnas.2524159123", "Reactivation of the silenced BASP1 gene suppresses oncogenic WNT signaling in human colorectal cancer cells | PNAS")</f>
        <v>Reactivation of the silenced BASP1 gene suppresses oncogenic WNT signaling in human colorectal cancer cells | PNAS</v>
      </c>
      <c r="M56"/>
      <c r="N56"/>
      <c r="O56"/>
    </row>
    <row r="57" ht="25.5" customHeight="1">
      <c r="A57" t="inlineStr">
        <is>
          <t>MondoA mediates transcriptional coordination between the MYC network and the integrated stress response in pancreatic cancer</t>
        </is>
      </c>
      <c r="B57" t="inlineStr">
        <is>
          <t>Abstract
MYC amplification contributes to poor survival and outcome in pancreatic ductal adenocarcinoma (PDAC). Here we show that in PDAC cell lines with amplified MYC, MondoA is required for viability, facilitating proliferation while suppressing apoptosis in vitro and in vivo. Transcriptional and genomic profiling demonstrates that loss of MondoA leads to altered expression of direct MondoA targets as well as MYC target genes and is accompanied by shifts in genomic occupancy of MYC, MNT, and the MondoA paralog ChREBP. This altered genomic binding by MYC network members is associated with transcriptional perturbation of multiple metabolic and stress pathways, as well as global changes in N6-methyladenosine modification (m6A) of messenger RNA (mRNA). MondoA inhibition disrupts coordination between MYC network members and the Integrated Stress Response (ISR), resulting in decreased translation of ATF4 mRNA, discordant gene regulation of shared targets of MYC and ATF4 and, ultimately, apoptosis. Reestablishing ATF4 protein expression rescues the diminished viability due to loss of MondoA expression or activity, providing direct evidence of a link between deregulated MYC and the transcriptional machinery of the ISR. Last, we find that small-molecule inhibition of MondoA is lethal in a subset of PDAC cell lines, including patient-derived organoids, suggesting that the ability to target MYC via chemical inhibition of MondoA transcriptional activity may have broad efficacy.</t>
        </is>
      </c>
      <c r="C57" t="inlineStr">
        <is>
          <t>P4</t>
        </is>
      </c>
      <c r="D57" t="inlineStr">
        <is>
          <t>技术动向</t>
        </is>
      </c>
      <c r="E57" s="2">
        <v>46085</v>
      </c>
      <c r="F57" t="inlineStr">
        <is>
          <t>PNAS</t>
        </is>
      </c>
      <c r="G57" t="inlineStr">
        <is>
          <t>学术期刊</t>
        </is>
      </c>
      <c r="H57" t="inlineStr">
        <is>
          <t>🌟</t>
        </is>
      </c>
      <c r="I57" t="inlineStr">
        <is>
          <t>肿瘤</t>
        </is>
      </c>
      <c r="J57" t="inlineStr">
        <is>
          <t>张均好</t>
        </is>
      </c>
      <c r="K57" t="inlineStr">
        <is>
          <t>4月</t>
        </is>
      </c>
      <c r="L57" s="3" t="str">
        <f>=HYPERLINK("https://www.pnas.org/doi/10.1073/pnas.2524659123", "MondoA mediates transcriptional coordination between the MYC network and the integrated stress response in pancreatic cancer | PNAS")</f>
        <v>MondoA mediates transcriptional coordination between the MYC network and the integrated stress response in pancreatic cancer | PNAS</v>
      </c>
      <c r="M57"/>
      <c r="N57"/>
      <c r="O57"/>
    </row>
    <row r="58" ht="25.5" customHeight="1">
      <c r="A58" t="inlineStr">
        <is>
          <t>Neutralization of acyl-CoA-binding protein attenuates glucocorticoid-mediated suppression of cancer immunosurveillance</t>
        </is>
      </c>
      <c r="B58" t="inlineStr">
        <is>
          <t>Abstract
Glucocorticoids (GCs) are potent immunosuppressive agents that compromise anticancer immune responses, yet the molecular mediators of this effect remain incompletely understood. Here, we identify the acyl-CoA-binding protein/diazepam-binding inhibitor (ACBP/DBI) as a critical effector of the GC-induced suppression of tumor immunosurveillance and immunotherapy efficacy. Using orthotopic murine models of breast cancer, non–small cell lung cancer, and cutaneous fibrosarcoma, we show that corticosterone (CORT) accelerates tumor progression and abrogates therapeutic responses to immunogenic chemotherapy and PD-1 blockade. Genetic ablation or monoclonal antibody (mAb)-mediated neutralization of ACBP/DBI prevents immunosuppression by CORT, restoring both natural and therapy-enhanced antitumor immunity in a T cell–dependent manner. Mechanistically, CORT induces Tsc22d3 expression in dendritic cells, impairs type I interferon signaling, and reduces antigen presentation capacity, which all can be reversed by ACBP/DBI neutralization. The immunosuppressive activity of GCs and the immunostimulatory function of anti-ACBP/DBI mAb converge on Tsc22d3 expression in myeloid cells, as shown by loss-of-function experiments in myeloid-specific Tsc22d3-deficient mice. These findings reveal ACBP/DBI as a central mediator of GC-induced immune evasion and suggest its neutralization as a therapeutic strategy to restore anticancer immunity during endogenous or iatrogenic GC exposure.</t>
        </is>
      </c>
      <c r="C58" t="inlineStr">
        <is>
          <t>P4</t>
        </is>
      </c>
      <c r="D58" t="inlineStr">
        <is>
          <t>技术动向</t>
        </is>
      </c>
      <c r="E58" s="2">
        <v>46085</v>
      </c>
      <c r="F58" t="inlineStr">
        <is>
          <t>PNAS</t>
        </is>
      </c>
      <c r="G58" t="inlineStr">
        <is>
          <t>学术期刊</t>
        </is>
      </c>
      <c r="H58" t="inlineStr">
        <is>
          <t>🌟</t>
        </is>
      </c>
      <c r="I58" t="inlineStr">
        <is>
          <t>免疫, 肿瘤</t>
        </is>
      </c>
      <c r="J58" t="inlineStr">
        <is>
          <t>张均好</t>
        </is>
      </c>
      <c r="K58" t="inlineStr">
        <is>
          <t>4月</t>
        </is>
      </c>
      <c r="L58" s="3" t="str">
        <f>=HYPERLINK("https://www.pnas.org/doi/10.1073/pnas.2518983123", "Neutralization of acyl-CoA-binding protein attenuates glucocorticoid-mediated suppression of cancer immunosurveillance | PNAS")</f>
        <v>Neutralization of acyl-CoA-binding protein attenuates glucocorticoid-mediated suppression of cancer immunosurveillance | PNAS</v>
      </c>
      <c r="M58"/>
      <c r="N58"/>
      <c r="O58"/>
    </row>
    <row r="59" ht="25.5" customHeight="1">
      <c r="A59" t="inlineStr">
        <is>
          <t>BRCA1-A and LIG4 complexes mediate ecDNA biogenesis and cancer drug resistance</t>
        </is>
      </c>
      <c r="B59" t="inlineStr">
        <is>
          <t>Abstract
Extrachromosomal circular DNA (ecDNA) is frequently generated within the nucleus, contributing to genome dynamics and heterogeneity, thereby promoting cancer cell evolution and adaptation. However, the mechanisms underlying ecDNA biogenesis remain poorly understood. Here, using genome-wide CRISPR screening in human cells, we identified the BRCA1-A and the LIG4 complexes as key drivers of ecDNA production. Following DNA segmentation, the upstream BRCA1-A complex protects DNA ends from excessive resection, promoting end-joining for circularization. Conversely, the MRN complex, which mediates end resection and thus antagonizes the BRCA1-A complex, suppresses ecDNA formation. Downstream, LIG4 conservatively mediates ecDNA production by joining the free ends of the DNA fragments. Furthermore, ecDNA from patient tumors harbors junction sites with a LIG4 signature. Notably, disruption of either LIG4 or the BRCA1-A complex in cancer cells impairs ecDNA-mediated adaptation, hindering the development of resistance to both chemotherapy and targeted therapies. Together, our study reveals the roles of the LIG4 and BRCA1-A complexes in ecDNA biogenesis, and uncovers therapeutic targets to block ecDNA-mediated adaptation for cancer treatment.</t>
        </is>
      </c>
      <c r="C59" t="inlineStr">
        <is>
          <t>P4</t>
        </is>
      </c>
      <c r="D59" t="inlineStr">
        <is>
          <t>技术动向</t>
        </is>
      </c>
      <c r="E59" s="2">
        <v>46092</v>
      </c>
      <c r="F59" t="inlineStr">
        <is>
          <t>PNAS</t>
        </is>
      </c>
      <c r="G59" t="inlineStr">
        <is>
          <t>学术期刊</t>
        </is>
      </c>
      <c r="H59" t="inlineStr">
        <is>
          <t>🌟</t>
        </is>
      </c>
      <c r="I59" t="inlineStr">
        <is>
          <t>肿瘤</t>
        </is>
      </c>
      <c r="J59" t="inlineStr">
        <is>
          <t>张均好</t>
        </is>
      </c>
      <c r="K59" t="inlineStr">
        <is>
          <t>4月</t>
        </is>
      </c>
      <c r="L59" s="3" t="str">
        <f>=HYPERLINK("https://www.pnas.org/doi/10.1073/pnas.2530443123", "BRCA1-A and LIG4 complexes mediate ecDNA biogenesis and cancer drug resistance | PNAS")</f>
        <v>BRCA1-A and LIG4 complexes mediate ecDNA biogenesis and cancer drug resistance | PNAS</v>
      </c>
      <c r="M59"/>
      <c r="N59"/>
      <c r="O59"/>
    </row>
    <row r="60" ht="25.5" customHeight="1">
      <c r="A60" t="inlineStr">
        <is>
          <t>Viral mimicry may help explain immunogenic cell death</t>
        </is>
      </c>
      <c r="B60" t="inlineStr">
        <is>
          <t>Abstract
Viral mimicry may be an underappreciated contributor to chemotherapeutic potency in animal models and patients. This hypothesis is based on studies of a bis-Au(I)-NHC complex that was found to generate a strong anti-tumor immune response in vivo in two different challenge studies using an iKAP colorectal cancer mouse model. RNA profiling of treated cells revealed the stimulation of genes that overlap with those upregulated during a viral infection. The bis-Au(I)-NHC complex generates reactive oxygen species (ROS) through the simultaneous redox cycling of the naphthoquinone moiety and inhibition of thioredoxin reductase with Au(I). This ROS increase causes endoplasmic reticulum stress, activation of the unfolded protein response pathway and upregulation of Ifih1, a gene that encodes for the viral dsRNA sensor MDA5. Activation of MDA5 triggers a strong type I interferon response and expression of chemokine ligand 10 that can recruit immune cells to the treated tumor in a manner analogous to immune responses during viral infection. This proposed mechanism bridges the gap between cytotoxicity and the innate and adaptive immune responses. We suggest viral mimicry may be a key driver of chemotherapy potency in animals and an important determinant of positive outcomes in cancer patients.</t>
        </is>
      </c>
      <c r="C60" t="inlineStr">
        <is>
          <t>P4</t>
        </is>
      </c>
      <c r="D60" t="inlineStr">
        <is>
          <t>技术动向</t>
        </is>
      </c>
      <c r="E60" s="2">
        <v>46092</v>
      </c>
      <c r="F60" t="inlineStr">
        <is>
          <t>PNAS</t>
        </is>
      </c>
      <c r="G60" t="inlineStr">
        <is>
          <t>学术期刊</t>
        </is>
      </c>
      <c r="H60" t="inlineStr">
        <is>
          <t>🌟</t>
        </is>
      </c>
      <c r="I60" t="inlineStr">
        <is>
          <t>免疫, 肿瘤</t>
        </is>
      </c>
      <c r="J60" t="inlineStr">
        <is>
          <t>张均好</t>
        </is>
      </c>
      <c r="K60" t="inlineStr">
        <is>
          <t>4月</t>
        </is>
      </c>
      <c r="L60" s="3" t="str">
        <f>=HYPERLINK("https://www.pnas.org/doi/10.1073/pnas.2537547123", "Viral mimicry may help explain immunogenic cell death | PNAS")</f>
        <v>Viral mimicry may help explain immunogenic cell death | PNAS</v>
      </c>
      <c r="M60"/>
      <c r="N60"/>
      <c r="O60"/>
    </row>
    <row r="61" ht="25.5" customHeight="1">
      <c r="A61" t="inlineStr">
        <is>
          <t>N6-methyladenosine modification of FZR1 mRNA positively regulates antiviral innate immunity by targeting the MAVS–TRAF3/6 axis</t>
        </is>
      </c>
      <c r="B61" t="inlineStr">
        <is>
          <t>Abstract
Activation of retinoic acid-inducible gene-I-like receptors (RLRs) is important for type I interferon (IFN-I) production and antiviral innate immunity initiation. However, the epigenetic mechanisms that regulate RLR signaling remain poorly understood and require further investigation. Here, we demonstrate that Fizzy-related protein 1 (FZR1), which is essential for mitotic exit and G1/S transition, potentiates antiviral innate immune responses against RNA viruses. Mechanistically, vesicular stomatitis virus infection increases N6-methyladenosine (m6A) modification of FZR1 mRNA, which enhances FZR1 translation and elevates intracellular FZR1 protein levels. Upregulated FZR1 attenuates mitochondrial antiviral-signaling protein (MAVS) binding to 6-Phosphofructo-2-Kinase/Fructose-2, 6-Biphosphatase 3, a glycolytic rate-limiting enzyme, thereby promoting MAVS aggregation. Furthermore, FZR1 facilitates tumor necrosis factor receptor-associated factor 3/6 (TRAF3/6) autoubiquitination independently of the anaphase-promoting complex/cyclosome, subsequently activating interferon regulatory factor 3 and P65 of nuclear factor κB to drive the production of IFN-I and proinflammatory cytokines. Consequently, FZR1 deficiency impairs antiviral responses and increases viral titer in vitro and in vivo. Pharmacological inhibition of FZR1 significantly attenuates MAVS activation and TRAF3/6 ubiquitination, thereby abolishing FZR1-mediated antiviral immunity both in vitro and in vivo. Collectively, these findings reveal a molecular mechanism by which m6A modification of FZR1 activates the MAVS–TRAF3/6 signaling axis to potentiate IFN-I-dependent antiviral innate immunity.</t>
        </is>
      </c>
      <c r="C61" t="inlineStr">
        <is>
          <t>P4</t>
        </is>
      </c>
      <c r="D61" t="inlineStr">
        <is>
          <t>技术动向</t>
        </is>
      </c>
      <c r="E61" s="2">
        <v>46091</v>
      </c>
      <c r="F61" t="inlineStr">
        <is>
          <t>PNAS</t>
        </is>
      </c>
      <c r="G61" t="inlineStr">
        <is>
          <t>学术期刊</t>
        </is>
      </c>
      <c r="H61" t="inlineStr">
        <is>
          <t>🌟</t>
        </is>
      </c>
      <c r="I61" t="inlineStr">
        <is>
          <t>免疫</t>
        </is>
      </c>
      <c r="J61" t="inlineStr">
        <is>
          <t>张均好</t>
        </is>
      </c>
      <c r="K61" t="inlineStr">
        <is>
          <t>4月</t>
        </is>
      </c>
      <c r="L61" s="3" t="str">
        <f>=HYPERLINK("https://www.pnas.org/doi/10.1073/pnas.2536412123", "N6-methyladenosine modification of FZR1 mRNA positively regulates antiviral innate immunity by targeting the MAVS–TRAF3/6 axis | PNAS")</f>
        <v>N6-methyladenosine modification of FZR1 mRNA positively regulates antiviral innate immunity by targeting the MAVS–TRAF3/6 axis | PNAS</v>
      </c>
      <c r="M61"/>
      <c r="N61"/>
      <c r="O61"/>
    </row>
    <row r="62" ht="25.5" customHeight="1">
      <c r="A62" t="inlineStr">
        <is>
          <t>Microglial fructose metabolism is essential for glioblastoma growth</t>
        </is>
      </c>
      <c r="B62" t="inlineStr">
        <is>
          <t>Abstract
Glioblastoma (GBM) remains one of the most aggressive and treatment-resistant brain tumors in adults. Its immune microenvironment is dominated by tumor-associated macrophages, including both infiltrating monocytes and brain-resident microglia. While metabolic rewiring of infiltrating myeloid cells has been shown to support tumor progression, the role of microglial metabolism in GBM remains incompletely understood. Here, we demonstrate that microglia uniquely express the fructose transporter GLUT5 and are the only immune cells in the GBM microenvironment capable of metabolizing fructose. Using murine orthotopic glioma and Replication-Competent Avian sarcoma leuko virus Splice acceptor (RCAS)-derived tumor models, we show that global deletion of GLUT5 confers profound resistance to tumor growth. This effect is driven by loss of fructose metabolism in microglia and occurs independently of contributions from peripheral immune compartments. In GLUT5-deficient mice, tumors exhibit increased infiltration and activation of both innate and adaptive immunity, including enhanced antigen presentation, clonal expansion of CD8+ T cells, and increased cytokine production. Depletion of B-cells or CD8+ T cells abrogated survival phenotypes in knockout mice, demonstrating that GLUT5 suppresses adaptive immunity. These findings identify microglial fructose metabolism as a critical regulator of immune suppression in GBM and suggest that targeting this pathway may improve immunotherapeutic responses.</t>
        </is>
      </c>
      <c r="C62" t="inlineStr">
        <is>
          <t>P4</t>
        </is>
      </c>
      <c r="D62" t="inlineStr">
        <is>
          <t>技术动向</t>
        </is>
      </c>
      <c r="E62" s="2">
        <v>46098</v>
      </c>
      <c r="F62" t="inlineStr">
        <is>
          <t>PNAS</t>
        </is>
      </c>
      <c r="G62" t="inlineStr">
        <is>
          <t>学术期刊</t>
        </is>
      </c>
      <c r="H62" t="inlineStr">
        <is>
          <t>🌟</t>
        </is>
      </c>
      <c r="I62" t="inlineStr">
        <is>
          <t>免疫, 肿瘤</t>
        </is>
      </c>
      <c r="J62" t="inlineStr">
        <is>
          <t>张均好</t>
        </is>
      </c>
      <c r="K62" t="inlineStr">
        <is>
          <t>4月</t>
        </is>
      </c>
      <c r="L62" s="3" t="str">
        <f>=HYPERLINK("https://www.pnas.org/doi/10.1073/pnas.2521256123", "Microglial fructose metabolism is essential for glioblastoma growth | PNAS")</f>
        <v>Microglial fructose metabolism is essential for glioblastoma growth | PNAS</v>
      </c>
      <c r="M62"/>
      <c r="N62"/>
      <c r="O62"/>
    </row>
    <row r="63" ht="25.5" customHeight="1">
      <c r="A63" t="inlineStr">
        <is>
          <t>An autoimmunity-associated allele of PTPN22 enhances innate antiviral immunity to protect against acute coronavirus infection</t>
        </is>
      </c>
      <c r="B63" t="inlineStr">
        <is>
          <t>Abstract
Allelic variation can impact viral clearance and disease severity. Still, our understanding of the effect of the autoimmunity-associated allelic variant of Ptpn22 (PEP-R619W) on antiviral immunity remains incomplete, as previous reports have only focused on chronic lymphocytic choriomeningitis virus infection. This research defines how the loss of Ptpn22 (PEP-null) and PEP-R619W changes antiviral immunity during an acute coronavirus infection. We address the hypothesis that CRISPR/Cas9-generated PEP-null and PEP-R619W mice have enhanced antiviral immunity over PEP-wild-type (WT) mice during coronavirus infection. Following mouse hepatitis virus A59 infection, we interrogated pathology, cytokine production, and cellular responses in the blood, spleen, and liver of PEP-WT, PEP-null, and PEP-R619W mice. Key findings show that PEP-R619W mice have reduced viral titer and weight loss, increased survival, and more mature natural killer (NK) cells in the liver and spleen compared to PEP-WT mice. Interestingly, protection against disease in PEP-null mice was inoculation dose dependent, whereas PEP-R619W conferred immunity regardless of infection dose. Further, Rag1−/− PEP-R619W mice had increased survival and reduced viral titer over Rag1−/− PEP-WT mice. PEP-R619W mice also had higher concentrations of interferon-gamma (IFNγ) and enhanced IFNγ production by mature NK cells in the liver at 3 d postinfection. Finally, NK cell depletion elevated PEP-R619W viral titer to similar levels as PEP-WT mice. This study investigates the role of Ptpn22 within NK cells and demonstrates that the Ptpn22 allelic variant augments NK cell function and is beneficial during coronavirus infection.</t>
        </is>
      </c>
      <c r="C63" t="inlineStr">
        <is>
          <t>P4</t>
        </is>
      </c>
      <c r="D63" t="inlineStr">
        <is>
          <t>技术动向</t>
        </is>
      </c>
      <c r="E63" s="2">
        <v>46099</v>
      </c>
      <c r="F63" t="inlineStr">
        <is>
          <t>PNAS</t>
        </is>
      </c>
      <c r="G63" t="inlineStr">
        <is>
          <t>学术期刊</t>
        </is>
      </c>
      <c r="H63" t="inlineStr">
        <is>
          <t>🌟</t>
        </is>
      </c>
      <c r="I63" t="inlineStr">
        <is>
          <t>免疫</t>
        </is>
      </c>
      <c r="J63" t="inlineStr">
        <is>
          <t>张均好</t>
        </is>
      </c>
      <c r="K63" t="inlineStr">
        <is>
          <t>4月</t>
        </is>
      </c>
      <c r="L63" s="3" t="str">
        <f>=HYPERLINK("https://www.pnas.org/doi/10.1073/pnas.2519903123", "An autoimmunity-associated allele of PTPN22 enhances innate antiviral immunity to protect against acute coronavirus infection | PNAS")</f>
        <v>An autoimmunity-associated allele of PTPN22 enhances innate antiviral immunity to protect against acute coronavirus infection | PNAS</v>
      </c>
      <c r="M63"/>
      <c r="N63"/>
      <c r="O63"/>
    </row>
  </sheetData>
  <dataValidations count="7">
    <dataValidation allowBlank="false" sqref="C2:C62" type="list">
      <formula1>"P0,P1,P2,P3,P4,无匹配类别"</formula1>
    </dataValidation>
    <dataValidation allowBlank="false" sqref="D2:D62" type="list">
      <formula1>"技术动向,产品动向,无匹配类别,"</formula1>
    </dataValidation>
    <dataValidation allowBlank="false" sqref="F2:F62" type="list">
      <formula1>"FDA,EMA,英国MHRA,欧盟委员会,日本PMDA,韩国MFDS,Nature,Lancet,JAMA,Cell,Science,PNAS,强生,艾伯维,默沙东,罗氏,辉瑞,阿斯利康,诺华,BMS,赛诺菲,诺和诺德,礼来,其他,Multimodal antigenic escape to GPRC5D-targeted T cell engagers in multiple myeloma"</formula1>
    </dataValidation>
    <dataValidation allowBlank="false" sqref="G2:G62" type="list">
      <formula1>"政府监管,学术期刊,药企,其他"</formula1>
    </dataValidation>
    <dataValidation allowBlank="false" sqref="H2:H62" type="list">
      <formula1>"🌟,🌟🌟,🌟🌟🌟,,"</formula1>
    </dataValidation>
    <dataValidation allowBlank="false" sqref="J2:J62" type="list">
      <formula1>"王宇超,贺岩,朱伊,于小迪,张均好,陈海婷,PNAS"</formula1>
    </dataValidation>
    <dataValidation allowBlank="false" sqref="K2:K62" type="list">
      <formula1>"1月,2月,3月,4月,技术动向,技术动向,其他,学术期刊"</formula1>
    </dataValidation>
  </dataValidation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