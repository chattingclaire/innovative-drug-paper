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40"/>
  </bookViews>
  <sheets>
    <sheet name="3月更新（3月信息）" sheetId="2" r:id="rId1"/>
  </sheets>
  <definedNames>
    <definedName name="_xlnm._FilterDatabase" localSheetId="0" hidden="1">'3月更新（3月信息）'!$A$1:$I$62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<sst xmlns="http://schemas.openxmlformats.org/spreadsheetml/2006/main" count="143" uniqueCount="88">
  <si>
    <t>原文标题</t>
  </si>
  <si>
    <t>原文内容（期刊等较长篇幅内容可以放摘要）</t>
  </si>
  <si>
    <t>分类</t>
  </si>
  <si>
    <t>发布日期</t>
  </si>
  <si>
    <t>信息来源</t>
  </si>
  <si>
    <t>来源属性</t>
  </si>
  <si>
    <t>关键词标签</t>
  </si>
  <si>
    <t>原文链接</t>
  </si>
  <si>
    <t>附件</t>
  </si>
  <si>
    <t>Enhertu granted Priority Review in the US as post-neoadjuvant treatment for patients with HER2-positive early breast cancer</t>
  </si>
  <si>
    <t>AstraZeneca and Daiichi Sankyo’s supplemental Biologics License Application (sBLA) for Enhertu (trastuzumab deruxtecan) has been accepted and granted Priority Review in the US for the treatment of adult patients with HER2-positive breast cancer who have residual invasive disease after neoadjuvant HER2-targeted treatment.
The Food and Drug Administration (FDA) grants Priority Review to applications for medicines that, if approved, would offer significant improvements over available treatment options by demonstrating safety or efficacy improvements, preventing serious conditions or enhancing patient compliance. The Prescription Drug User Fee Act date, the FDA action date for its regulatory decision, is anticipated during the third quarter of 2026.
Enhertu was recently granted Breakthrough Therapy Designation (BTD) by the FDA in this setting. BTD accelerates the development and regulatory review of potential new medicines intended to treat a serious condition and address a significant unmet medical need.
The sBLA also is being reviewed under Project Orbis, which provides a framework for concurrent submission and review of oncology medicines among participating international partners.
Around one in five breast cancers are considered HER2-positive, a subtype that is often associated with aggressive disease and poor prognosis.1-3 Currently, approximately half of patients with HER2-positive early breast cancer have residual disease following neoadjuvant treatment (before surgery), putting them at an increased risk of disease recurrence.4-9 Despite receiving additional treatment in the post-neoadjuvant setting with current standards of care, some patients still experience tumour progression to metastatic disease, where the five-year survival rate drops from nearly 90% to approximately 30%.10,11
Susan Galbraith, Executive Vice President, Oncology Haematology R&amp;D, AstraZeneca, said: “While there has been significant progress in treating HER2-positive early breast cancer, managing patients at a higher risk of recurrence remains challenging. With this Priority Review, we move closer to bringing Enhertu to the post-neoadjuvant setting, offering more patients the opportunity for sustained long-term outcomes and a potential path to cure.”
Ken Takeshita, Global Head, R&amp;D, Daiichi Sankyo, said: “For patients with residual invasive disease after neoadjuvant therapy, identifying additional treatments following surgery is critical to help further reduce the risk of recurrence and help prevent progression to metastatic disease. This Priority Review reinforces the potential of Enhertu to become a new standard of care for HER2-positive early breast cancer based on the results of DESTINY-Breast05.”
The sBLA is based on data from the DESTINY-Breast05 Phase III trial presented at the European Society for Medical Oncology (ESMO) 2025 Congress and subsequently published in The New England Journal of Medicine.1
In the trial, Enhertu significantly reduced the risk of invasive disease recurrence or death (invasive disease-free survival [IDFS]) by 53% compared with trastuzumab emtansine (T-DM1; based on a hazard ratio [HR] of 0.47; 95% confidence interval [CI] 0.34-0.66; p&lt;0.0001) as a post-neoadjuvant treatment for patients with HER2-positive breast cancer. Enhertu demonstrated a three-year IDFS rate of 92.4% compared with 83.7% with T-DM1. IDFS findings were consistent across all prespecified subgroups.
Enhertu also significantly reduced the risk of disease recurrence or death (disease-free survival [DFS]), a key secondary endpoint, by 53% versus T-DM1 (HR 0.47; 95% CI 0.34-0.66; p&lt;0.0001). Further, Enhertu lowered the risk of distant disease recurrence (distant recurrence-free interval) by 51% and the risk of brain metastases (brain metastasis-free interval) by 36% compared with T-DM1 (HR 0.64; 95% CI 0.35-1.17).
The safety profile of Enhertu observed in DESTINY-Breast05 was consistent with its known profile with no new safety concerns identified.
Regulatory submissions for Enhertu based upon DESTINY-Breast05 are also under review in the EU and Japan. In addition, an sBLA for Enhertu followed by paclitaxel, trastuzumab and pertuzumab (THP) currently is under review in the US for the neoadjuvant treatment of patients with HER2-positive early breast cancer based on results from the DESTINY-Breast11 trial.
Enhertu is already approved in more than 90 countries as a treatment for patients with HER2-positive metastatic breast cancer.
Enhertu is a specifically engineered HER2-directed DXd antibody drug conjugate (ADC) discovered by Daiichi Sankyo and being jointly developed and commercialised by AstraZeneca and Daiichi Sankyo.</t>
  </si>
  <si>
    <t>产品动向</t>
  </si>
  <si>
    <t>阿斯利康</t>
  </si>
  <si>
    <t>药企</t>
  </si>
  <si>
    <t>肿瘤, 新药审批</t>
  </si>
  <si>
    <t>Enhertu granted Priority Review in the ...with HER2-positive early breast cancer.pdf</t>
  </si>
  <si>
    <t>Tozorakimab met primary endpoint in both OBERON and TITANIA Phase III trials in patients with COPD</t>
  </si>
  <si>
    <t>Positive high-level results from the Phase III OBERON and TITANIA trials in patients with chronic obstructive pulmonary disease (COPD) showed that tozorakimab reduced the annualised rate of moderate-to-severe COPD exacerbations compared with placebo, in the primary population of former smokers, and in the overall population, which included former and current smokers, and patients across all blood eosinophil* counts and all stages of lung function severity. Tozorakimab was generally well tolerated with a favourable safety profile.
Tozorakimab is a potential first-in-class monoclonal antibody targeting interleukin-33 (IL-33), that uniquely inhibits the signalling of the reduced and oxidised forms of IL-33, offering the potential to both reduce inflammation and disrupt the cycle of mucus dysfunction that contribute to COPD worsening.1-4 In the OBERON and TITANIA trials, tozorakimab was studied in patients with COPD still experiencing exacerbations while on inhaled standard of care.5,6 Patients received tozorakimab 300mg or placebo on top of standard of care once every four weeks.
Nearly 400 million people are diagnosed with COPD, a heterogenous and progressive disease and the 3rd leading cause of death globally.7,8 Even when on inhaled standard of care, more than 50% of patients experience exacerbations, putting them at an increased risk of cardiopulmonary events and mortality.9-12
Frank Sciurba, MD, FCCP, Professor of Pulmonary and Critical Care Medicine, University of Pittsburgh, Chief Investigator of LUNA programme, said: “These trial results suggest that targeting the IL-33 pathway with tozorakimab delivers meaningful clinical benefit in a trial representing a broad COPD population, independent of smoking status and eosinophilic levels. COPD has long been a difficult-to-treat disease with inherent heterogeneity and significant unmet need, with up to half of patients worldwide at risk of exacerbations, hospitalisations, cardiopulmonary events, and death — underscoring the importance of these results for advancing COPD science.”
Sharon Barr, Executive Vice President, BioPharmaceuticals R&amp;D, AstraZeneca, said: “Today’s tozorakimab results deliver the first two confirmatory Phase III trials for an IL-33 biologic, which is a major scientific advancement in COPD, the world’s third leading cause of death. Tozorakimab works in a fundamentally different way from other biologics, inhibiting the signalling of the reduced and oxidised forms of IL-33 to both decrease inflammation and disrupt the cycle of mucus dysfunction that are key disease drivers in COPD.”
The full results from the OBERON and TITANIA clinical trials will be shared with the scientific community at an upcoming medical meeting.
Additional Phase III trials of tozorakimab in COPD, PROSPERO and MIRANDA, are ongoing.13,14 Tozorakimab is also being studied in a Phase III trial for severe viral lower respiratory tract disease and in a Phase II trial in asthma.15,16
*eosinophil: a type of white blood cell, which at increased levels may contribute to inflammation in respiratory diseases.</t>
  </si>
  <si>
    <t>免疫</t>
  </si>
  <si>
    <t>Tozorakimab met primary endpoint in bot...Phase III trials in patients with COPD.pdf</t>
  </si>
  <si>
    <t>Sanofi’s venglustat earns Breakthrough Therapy designation in the US for type 3 Gaucher disease</t>
  </si>
  <si>
    <t>Paris, March 18, 2026. The US Food and Drug Administration (FDA) has granted Breakthrough Therapy designation to venglustat, a novel, investigational oral glucosylceramide synthase inhibitor (GCSi), for the treatment of neurological manifestations of type 3 Gaucher disease (GD3), a rare lysosomal storage disorder.
The designation is based on data from the LEAP2MONO phase 3 study (clinical study identifier: NCT05222906) in which patients receiving venglustat demonstrated statistically significant improvements in neurological symptoms measured by a global test score that included assessments for ataxia (mSARA) and cognition (RBANS) compared with patients receiving the enzyme replacement therapy (ERT), imiglucerase (p=0.007). In the study, venglustat was well tolerated overall with no new safety signals compared with previous studies. The most commonly reported adverse events were headache (14.3% in the venglustat arm versus 18.2% in the ERT arm), nausea (14.3% versus 4.5%), spleen enlargement (14.3% versus 0), and diarrhea (14.3% versus 0).
Gaucher disease (GD) is a rare inherited lysosomal storage disorder that results from a deficiency of an enzyme called glucocerebrosidase, leading to the accumulation of sugar-and-fat molecules called glycosphingolipids (GSL) in the spleen, liver, bone marrow, and lungs. There are three major forms of the disease: GD1, characterized by lack of central nervous system (CNS) involvement; GD2, marked by rapid neurological decline and severe neurocognitive symptoms; and GD3, marked by slower and more variable progression and symptom severity.
In people with GD3, accumulation of GSLs in the CNS can result in neurological symptoms, in addition to the systemic manifestations seen in GD1, such as liver and spleen enlargement, anaemia, low platelet counts, and bone disease. Systemic manifestations of GD3 are treated with ERT but there are no approved treatments for the neurological symptoms. Venglustat works by reducing the abnormal accumulation of GSLs. It is designed to cross the blood-brain barrier to target the underlying pathology causing the neurological effects of GD3.
“This regulatory milestone recognizes the significant unmet medical need for people living with type 3 Gaucher disease, particularly those experiencing progressive neurological deterioration,” said Karin Knobe, Global Head of Clinical Development, Rare Diseases at Sanofi. “The positive LEAP2MONO findings are an encouraging step forward in the research and development process, and we will continue collaborating with the FDA to advance this potential treatment option.”
Venglustat was previously granted fast-track designation from the FDA for its potential use in GD3 as well as orphan designation for GD3 in the US, EU and Japan. Sanofi will pursue global regulatory filings for venglustat in GD3 during 2026.
FDA Breakthrough Therapy designation is designed to expedite the development and review of medicines in the US that target serious or life-threatening conditions. Medicines qualifying for this designation must show preliminary clinical evidence that the drug may demonstrate substantial improvement on clinically significant endpoints over available medicines.</t>
  </si>
  <si>
    <t>赛诺菲</t>
  </si>
  <si>
    <t>2026-03-18-06-00-00-3257888-en.pdf</t>
  </si>
  <si>
    <t>Awiqli® approved in the US, the first and only once-weekly basal insulin treatment for adults with type 2 diabetes</t>
  </si>
  <si>
    <t>Bagsværd, Denmark, 27 March 2026 – Novo Nordisk today announced that the US Food and Drug Administration (FDA) has approved Awiqli® (insulin icodec-abae) injection 700 units/mL, the first and only once-weekly, long-acting basal insulin, indicated as an adjunct to diet and exercise to improve glycaemic control (blood sugar) in adults living with type 2 diabetes. The approval offers the only once‑weekly basal insulin option, providing a new treatment solution that fits different patient routines and preferences for adults living with type 2 diabetes.
The approval is based on results from the ONWARDS phase 3a programme in type-2-diabetes for once-weekly Awiqli® injection, which comprises four randomised, active-controlled, treat-to-target trials in approximately 2,680 adults with uncontrolled type 2 diabetes, used in combination with a mealtime insulin or in combination with common oral anti-diabetic agents and/or GLP-1 receptor agonists. The clinical programme evaluated once-weekly Awiqli® vs daily basal insulin and demonstrated efficacy in the primary endpoint of HbA1c reduction across the ONWARDS pivotal clinical trial programme in adults with type 2 diabetes. Across ONWARDS trials, the safety profile of Awiqli® was overall consistent with the daily basal insulin class.
“The Awiqli® approval reflects Novo Nordisk’s ongoing efforts to advance healthcare innovation and strengthen support for people living with diabetes. As the first FDA-approved, once-weekly basal insulin for adults with type 2 diabetes, it offers an important new treatment option. At a time when parts of the industry are stepping back from insulin, we are reaffirming our commitment - continuing to invest in innovation, access, and supply for the millions of patients who rely on insulin every day,” said Mike Doustdar, president and CEO of Novo Nordisk.
Novo Nordisk expects to launch Awiqli® in the FlexTouch® device in the US in the second half of 2026. Awiqli® is now approved in the US, EU, and 13 additional countries, with market-specific indications for diabetes.</t>
  </si>
  <si>
    <t>诺和诺德</t>
  </si>
  <si>
    <t>免疫, 新药审批</t>
  </si>
  <si>
    <t>ca260327-awiqli-fda-approval.pdf</t>
  </si>
  <si>
    <t>Phase 3b data presented at AAD Annual Meeting show Lilly's Taltz (ixekizumab) plus Zepbound (tirzepatide) delivered superior efficacy for adults with psoriatic arthritis and obesity</t>
  </si>
  <si>
    <t>On March 28, 2026, Eli Lilly announced results from the Phase 3b TOGETHER-PsA trial showing that concomitant use of Taltz (ixekizumab) and Zepbound (tirzepatide) delivered superior efficacy compared to Taltz monotherapy in adults with active psoriatic arthritis (PsA) and obesity or overweight with at least one weight-related comorbidity. This open-label trial randomized 271 participants with mean BMI of 37.6 kg/m². At the primary endpoint of Week 36, 31.7% of patients in the combination arm achieved both ACR50 response and ≥10% weight reduction, significantly outperforming monotherapy (0.8%). Combination therapy also significantly improved fatigue, physical function, mental health-related quality of life, cardiometabolic health, and inflammatory markers. Adverse events were generally mild to moderate and consistent with the known safety profiles of both medicines. Results were presented as a late-breaking presentation at the 2026 American Academy of Dermatology Annual Meeting and simultaneously published in Arthritis &amp; Rheumatology.</t>
  </si>
  <si>
    <t>礼来</t>
  </si>
  <si>
    <t>GLP-1, 免疫, 新药审批</t>
  </si>
  <si>
    <t>Phase 3b data presented at AAD Annual Meeting show Lilly's Taltz (ixekizumab) plus Zepbound (tirzepatide) delivered superior efficacy for adults with psoriatic arthritis and obesity.pdf</t>
  </si>
  <si>
    <t>Lilly's triple agonist, retatrutide, demonstrated significant reductions in A1C and weight in first Phase 3 trial for treatment of type 2 diabetes</t>
  </si>
  <si>
    <t>On March 19, 2026, Eli Lilly announced positive topline results from the TRANSCEND-T2D-1 trial showing that retatrutide, a first-in-class GIP, GLP-1 and glucagon triple hormone receptor agonist, delivered superior efficacy in type 2 diabetes. In this 40-week Phase 3 double-blind study of 537 treatment-naïve patients, the 12mg dose achieved up to 2.0% A1C reduction and average weight loss of 36.6 lbs (16.8%), with no weight loss plateau observed at Week 40. All dose groups met the primary endpoint and all key secondary endpoints, with clinically meaningful improvements in cardiovascular risk factors (non-HDL cholesterol, triglycerides, systolic blood pressure). Most common adverse events were nausea, diarrhea, and vomiting, occurring primarily during dose escalation; discontinuation rates were 2.2%-5.1%. Detailed results will be presented at the American Diabetes Association Scientific Sessions in June. Lilly is conducting multiple Phase 3 trials evaluating retatrutide in obesity, knee osteoarthritis, sleep apnea, and cardiovascular/renal outcomes.</t>
  </si>
  <si>
    <t>GLP-1, 新药审批</t>
  </si>
  <si>
    <t>Lilly's triple agonist, retatrutide, demonstrated significant reductions in A1C and weight in first Phase 3 trial for treatment of type 2 diabetes.pdf</t>
  </si>
  <si>
    <t>Bristol Myers Squibb Presents Positive Results from Phase 3 SCOUT-HCM Trial Demonstrating Efficacy and Safety of Camzyos (mavacamten) in Adolescents with Symptomatic Obstructive Hypertrophic Cardiomyopathy (oHCM)</t>
  </si>
  <si>
    <t>On March 29, 2026, Bristol Myers Squibb announced positive results from the Phase 3 SCOUT-HCM trial showing that Camzyos (mavacamten), a cardiac myosin inhibitor (CMI), was effective and well-tolerated in adolescents (ages 12 to &lt;18) with symptomatic obstructive hypertrophic cardiomyopathy (oHCM). In this randomized, double-blind, placebo-controlled study of 44 patients, the primary endpoint of change from baseline in Valsalva left ventricular outflow tract (LVOT) gradient at Week 28 demonstrated a statistically significant least-squares mean difference of −48.0 mm Hg (P&lt;0.0001) versus placebo. Secondary endpoints showed meaningful improvements in resting and post-exercise LVOT gradients, maximal left ventricular wall thickness, NYHA class, and mitral valve function. Safety findings were similar between Camzyos and placebo groups, with no patients experiencing LVEF&lt;50%, no treatment discontinuations due to adverse events, and no deaths. Camzyos, the most extensively studied CMI approved in over 60 countries for adult oHCM, represents the potential first targeted pharmacological therapy for adolescent oHCM. Data were presented as a late-breaking presentation at ACC 2026 and simultaneously published in the New England Journal of Medicine.</t>
  </si>
  <si>
    <t>BMS</t>
  </si>
  <si>
    <t>新药审批</t>
  </si>
  <si>
    <t>https://news.bms.com/news/corporate-financial/2026/Bristol-Myers-Squibb-Presents-Positive-Results-from-Phase-3-SCOUT-HCM-Trial-Demonstrating-Efficacy-and-Safety-of-Camzyos-mavacamten-in-Adolescents-with-Symptomatic-Obstructive-Hypertrophic-Cardiomyopathy-oHCM/default.aspx</t>
  </si>
  <si>
    <t>Bristol Myers Squibb - Bristol Myers Sq...ive Hypertrophic Cardiomyopathy (oHCM).pdf</t>
  </si>
  <si>
    <t>Bristol Myers Squibb Transforms the Classical Hodgkin Lymphoma Treatment Paradigm with Expanded U.S. and EMA Approvals for Opdivo® (nivolumab)</t>
  </si>
  <si>
    <t>On March 20, 2026, Bristol Myers Squibb announced two new regulatory approvals for Opdivo (nivolumab) in classical Hodgkin lymphoma (cHL): the U.S. FDA approved Opdivo in combination with AVD chemotherapy (doxorubicin, vinblastine, dacarbazine) for adult and pediatric patients 12 years and older with previously untreated Stage III or IV cHL, making it the first immunotherapy combination approved in this frontline setting based on the Phase 3 SWOG 1826 study showing a 58% reduction in risk of disease progression or death versus BV-AVD (HR 0.42, P&lt;0.0001); and the European Commission approved Opdivo in combination with brentuximab vedotin for children 5 years and older, adolescents, and adults up to 30 years of age with relapsed or refractory cHL after one prior line of therapy, making it the first immunotherapy combination approved in this population based on the Phase 2 CheckMate-744 study. Opdivo, the world's first approved PD-1 immune checkpoint inhibitor, is currently approved in more than 65 countries across multiple tumor types.</t>
  </si>
  <si>
    <t>肿瘤, 免疫, 新药审批</t>
  </si>
  <si>
    <t>Bristol Myers Squibb - Bristol Myers Sq... EMA Approvals for Opdivo® (nivolumab).pdf</t>
  </si>
  <si>
    <t>Bristol Myers Squibb Announces Positive Phase 3 Results from the SUCCESSOR-2 Study of Oral Mezigdomide in Relapsed or Refractory Multiple Myeloma</t>
  </si>
  <si>
    <t>On March 9, 2026, Bristol Myers Squibb announced positive interim Phase 3 results from the SUCCESSOR-2 study showing that oral mezigdomide in combination with carfilzomib and dexamethasone (MeziKd) demonstrated statistically significant and clinically meaningful improvement in progression-free survival (PFS) versus carfilzomib and dexamethasone alone (Kd) in patients with relapsed or refractory multiple myeloma (RRMM), with safety findings consistent with the known profile, marking the first positive Phase 3 study for mezigdomide and the second positive Phase 3 study for the Bristol Myers Squibb CELMoD program; data will be presented at a future medical meeting and shared with health authorities.</t>
  </si>
  <si>
    <t>Bristol Myers Squibb - Bristol Myers Sq...elapsed or Refractory Multiple Myeloma.pdf</t>
  </si>
  <si>
    <t>U.S. FDA Approves Bristol Myers Squibb’s Sotyktu® (deucravacitinib) for the Treatment of Adults with Active Psoriatic Arthritis</t>
  </si>
  <si>
    <t>On March 6, 2026, the U.S. FDA approved Bristol Myers Squibb's Sotyktu (deucravacitinib) for the treatment of adults with active psoriatic arthritis (PsA), making it the first and only TYK2 inhibitor approved for this indication. The approval is based on positive results from the pivotal POETYK PsA-1 and POETYK PsA-2 trials, in which 54% of Sotyktu-treated patients achieved ACR20 response at Week 16 versus 34% and 39% with placebo respectively (both p&lt;0.0002), with 19% and 26% achieving Minimal Disease Activity response. Sotyktu is an oral, selective, allosteric TYK2 inhibitor designed to selectively target TYK2 without inhibiting JAK1, JAK2 or JAK3, first approved in 2022 for moderate-to-severe plaque psoriasis, and this approval expands its role in managing psoriatic disease affecting both skin and joints.</t>
  </si>
  <si>
    <t>Bristol Myers Squibb - U.S. FDA Approve...Adults with Active Psoriatic Arthritis.pdf</t>
  </si>
  <si>
    <t>Pembrolizumab and olaparib in homologous-recombination-deficient metastatic pancreatic cancer: the phase 2 POLAR trial</t>
  </si>
  <si>
    <t>Abstract
Homologous recombination deficiency (HRD) arising from BRCA1or BRCA2 or PALB2 mutations confers sensitivity to platinum chemotherapy and PARP inhibition in pancreatic cancer (PC) and may enable prolonged disease control with immune checkpoint blockade (ICB). The phase 2 POLAR trial evaluated maintenance pembrolizumab plus olaparib following platinum-based chemotherapy in biomarker-stratified metastatic PC. Sixty-three participants were enrolled into three cohorts: cohort A (BRCA1/BRCA2-mutated or PALB2-mutated HRD, n = 33), cohort B (non-core HRD, n = 15) and cohort C (platinum sensitive, HRD-wild type, n = 15). Cohort A used a two-stage design with co-primary endpoints of at least 43% Response Evaluation Criteria in Solid Tumors (RECIST) objective response rate (ORR) and at least 77% 6-month progression-free survival (PFS) rate. Among RECIST-evaluable participants in cohort A (n = 20), ORR was 35% (95% confidence interval (CI): 15−59%), whereas 6-month PFS rate in the full cohort (n = 33) was 64% (95% CI: 49−82%), not meeting the primary endpoint. At a median follow-up of 37 months (95% CI: 27−47), median PFS and overall survival (OS) for cohort A were 8.3 (95% CI: 5.3−not reached (NR)) and 28 (95% CI: 12−NR) months, with 2-year and 3-year OS rates of 56% (95% CI: 41−76%) and 44% (95% CI: 28−69%), respectively. In cohorts B and C, ORR was 8% (95% CI: 0−38%) and 14% (95% CI: 2%-43%); median PFS was 4.8 (95% CI: 4.0−12) and 3.3 (95% CI: 1.9−4.8) months; and median OS was 18 (95% CI: 13−NR) and 10 (95% CI: 8.9−24) months, respectively. Preplanned translational analyses showed that circulating tumor DNA response, increased tumor-infiltrating lymphocytes and enrichment of frameshift indel neoantigens were associated with durable clinical benefit. These data suggest that a subset of HRD PC may derive prolonged benefit from PARP-ICB maintenance and support further development of biomarker-guided precision immunotherapy strategies in PC. ClinicalTrials.gov identifier: NCT04666740.</t>
  </si>
  <si>
    <t>技术动向</t>
  </si>
  <si>
    <t>Nature</t>
  </si>
  <si>
    <t>学术期刊</t>
  </si>
  <si>
    <t>肿瘤</t>
  </si>
  <si>
    <t>Nanoparticles hijack calvarial immune cells for CNS drug delivery and stroke therapy</t>
  </si>
  <si>
    <t>Summary
The rapid accessibility of calvarial immune cells to the brain, in principle, may offer transformative opportunities for overcoming drug delivery barriers in central nervous system (CNS) disorders. Here, we hijacked calvarial immune cells using drug-loaded nanoparticles (NPs) and leveraged their unique migration mechanism through skull-meninges microchannels to bypass the blood-brain barrier (BBB) for CNS drug delivery. We constructed NP-loaded immune cells in situ via intracalvariosseous (ICO) injection, validated their prompt migration in response to CNS perturbation, and targeted therapeutic delivery to CNS lesions. Compared with conventional delivery approaches, this strategy achieved promising therapeutic efficacy in improving both short- and long-term outcomes in preclinical stroke models. Our prospective clinical trial further supports the translational feasibility of ICO immune access in treating malignant stroke. These findings establish skull-based delivery as a promising, clinically translatable route for CNS drug delivery and highlight immune-assisted transport as a potentially transformative strategy for improving therapeutic outcomes in neurological disorders.
Graphical abstract</t>
  </si>
  <si>
    <t>Cell</t>
  </si>
  <si>
    <t>Overcoming T cell tolerance to tumor self-antigens through catch-bond engineering</t>
  </si>
  <si>
    <t>Structured Abstract
INTRODUCTION
Tumor-associated antigens (TAAs) are a class of targets without underlying mutations that are expressed in both benign and malignant tissues and shared across broad patient populations. TAAs represent promising candidates for T cell–mediated cancer immunotherapy, but central immune tolerance often eliminates T cell clones with high potency for such antigens. Naturally occurring T cell receptors (TCRs) that escape negative selection may exhibit limited efficacy, despite their ability to specifically recognize TAA-derived epitopes presented by major histocompatibility complexes (MHCs). Prostatic acid phosphatase (PAP) is a classic TAA, abundantly expressed only in benign and malignant prostate tissues. Recently identified PAP-specific TCRs from healthy donor peripheral blood exhibit limited cytotoxicity. Engineering strategies that enhance TCR-mediated cytotoxicity without compromising antigen specificity are needed to overcome central tolerance and advance TCR–T cell–based immunotherapies.
RATIONALE
Catch bonds are specialized interactions between TCRs and peptide-MHCs that increase bond lifetimes under mechanical force, extending the dwell time of the complex and augmenting signaling. Catch bonds are activated through TCR contact with antigen-presenting cells that takes place under shear force. By prolonging the interaction between T cells and cancer cells, catch bonds can enhance T cell potency while maintaining physiologically low TCR-MHC affinity and fast off-rates. We hypothesize that introducing catch bonds can convert weak, naturally occurring PAP-specific TCRs into potent and selective therapeutic candidates with minimal sequence modifications, while reducing the possibility of off-target cross-reactivity, as has been seen in affinity-matured TCR–T cells. To evaluate this, a rapid positional scanning approach was developed to identify potential sites for catch-bond engineering.
RESULTS
We established a new pipeline, called “TCR turbocharging,” to rescreen for and introduce catch-bond “hotspots” into TCRs without requiring prior structural information. This strategy was applied to a natural, PAP-reactive, HLA-A*02:01–restricted TCR (TCR156). Catch-bond hotspots were identified within the complementarity-determining region 1 (CDR1) of the TCRα chain. Multiple TCR156 variants with enhanced catch-bond formation were generated, all maintaining physiological TCR-MHC binding affinities (1 to 100 μM). Functional assays and biomembrane force probe measurements demonstrated a positive correlation between TCR-pMHC bond strength and TCR cytotoxic potency. Two candidate TCRs with the longest bond lifetimes—bearing one (S32Mα) or two (S30E32Qα) amino acid substitutions—exhibited significantly enhanced cytotoxicity both in vitro and in vivo. Crystal structures of the wild-type and engineered TCR156 variants revealed minimal structural perturbation after catch bond introduction. Molecular dynamics simulation and yeast MHC library screening suggest that the methionine mutation on the TCR chain indirectly induces an additional interaction between the PAP peptide and the TCR, which increased the specificity of the TCR. Yeast-display MHC library screening also confirmed that catch-bond engineering did not increase off-target reactivity.
CONCLUSION
The TCR turbocharging pipeline successfully enhanced the function of a naturally occurring, weak PAP-specific TCR, producing candidates with strong in vitro and in vivo cytotoxicity. Although a clinical path is envisioned, further preclinical evaluation is needed. This strategy holds promise for broad application to other TAAs, potentially expanding the utility of TCR–T cell immunotherapies and overcoming the limitations imposed by central immune tolerance.
Catch-bond–engineered TCRs exhibit improved antitumor potency.(Left) Catch-bond hotspots were identified in a prostate antigen-specific T cell receptor interacting with the HLA-A2-PAP complex. Substitution of (top middle) the wild-type serine residue in the TCR with (bottom middle) methionine enhanced bond lifetime and resulted in (right) dramatically enhanced tumor elimination in tumor-bearing mice.
Abstract
T cells are often weakly responsive to tumor self-antigens because of central tolerance, constraining their ability to eliminate tumors. We exploited mechanical force to engineer a weakly reactive T cell receptor (TCR) specific for a nonmutated tumor-associated antigen (TAA), prostatic acid phosphatase (PAP). We identified a catch-bonding “hotspot” whose mutation enhanced T cell activity by increasing TCR–pMHC (peptide–major histocompatibility complex) bond lifetime while preserving physiological affinities and antigen fine specificities. T cells expressing these engineered TCRs showed vastly superior expansion in the tumor, effector phenotypes, and tumor elimination. Crystal structures and molecular dynamics simulations revealed a single amino acid mutation at the catch-bond hotspot primes the TCR for peptide interaction through water reorganization at the TCR-pMHC interface. Catch-bond engineering is a viable biophysically based strategy for transforming tolerized antitumor T cells into potent TCR–T cell therapy killers.</t>
  </si>
  <si>
    <t>Science</t>
  </si>
  <si>
    <t>Dynamic reprogramming of the tumor immune network via multicycle checkpoint degradation for cancer immunotherapy</t>
  </si>
  <si>
    <t>Abstract
The efficacy of immune checkpoint blockade is often limited by intrinsic immunosuppressive networks within the tumor immune microenvironment (TIME). Despite progress in cancer treatment, current extracellular targeted protein degradation approaches often overlook the multicellular distribution and crosstalk of immune checkpoints. Here we reported a Receptor-mediated Endolysosomal recYcling Chimera (RECYC) platform. RECYC employs a CI-M6PR-targeting aptamer that remains stable across late endosomal pH and a protein-binding peptide with moderate affinity and pH responsiveness, which together drive recycling and sustained checkpoint clearance. In ex vivo co-culture and in vivo murine models, RECYC efficiently eliminated programmed death-ligand 1 (PD-L1) expression from both tumor cells and tumor-associated myeloid cells (macrophages, neutrophils and dendritic cells). By converting an immunosuppressive TIME to an immunostimulatory state, RECYC remodeled the tumor-immune network in an anti-tumor direction, thereby enhancing CD8+ T cell response and repolarizing immunosuppressive myeloid cells. Moreover, in both immune-cold and immune-hot murine cancer models, RECYC demonstrated superior anti-tumor effect compared to PD-L1 blockade treatment. Collectively, we propose an effective strategy to induce recycling and broad checkpoint clearance in the TIME, which in turn reprograms the multicellular tumor–immune network to achieve durable immunotherapy responses.</t>
  </si>
  <si>
    <t>PNAS</t>
  </si>
  <si>
    <t>免疫, 肿瘤</t>
  </si>
  <si>
    <t>Synthetic SIGLEC9-based chimeric switch receptor augments the efficacy of CAR macrophages against glioblastoma</t>
  </si>
  <si>
    <t>Abstract
Chimeric antigen receptor macrophage (CAR-M) therapy represents a promising therapeutic approach for treating glioblastoma multiforme (GBM). However, durable antitumorigenic macrophage phenotype of CAR-Ms is limited by the highly immunosuppressive tumor microenvironment (TME), wherein Siglec–sialic acid signaling directly drives macrophage polarization toward a protumorigenic phenotype. We here report an in situ synthetic SIGLEC9-based chimeric switch receptor (CSR) for diverting the inhibitory signal into positive ones, augmenting the sustained proinflammatory phenotype and tumoricidal immunity of CAR-Ms in the GBM niche. Specifically, our results showed that macrophage-targeted ionizable lipid nanoparticles efficiently introduce dual circRNAs into macrophages to generate CSR functionalized CAR-Ms in vitro and in vivo. The modified macrophages maintained a proinflammatory state, exhibited superior phagocytic activity, resulting in rapid and efficient eradication of IL13Rα2-positive tumor cells. Moreover, an injectable nanoparticle–hydrogel system for reprogramming macrophages surrounding the glioma resection cavity initiated a locoregional antitumor immune response and elicited robust long-term immunological memory, inhibiting tumor relapse in the postoperative GBM model. In sum, our findings establish that the engineered SIGLEC9-based CSR significantly promotes the maintenance of an antitumoral phenotype of CAR-Ms in the hypersialylated acidic TME, contributing to the improvement of engineered macrophage-based immunotherapy against GBM.</t>
  </si>
  <si>
    <t>肿瘤, 免疫</t>
  </si>
  <si>
    <t>Roche launches NVIDIA AI factory to accelerate the development of new therapeutics and diagnostics solutions</t>
  </si>
  <si>
    <t>With the addition of 2,176 NVIDIA Blackwell GPUs, Roche now operates the pharmaceutical industry’s largest announced hybrid-cloud AI factory, totaling more than 3,500 GPUs.</t>
  </si>
  <si>
    <t>罗氏</t>
  </si>
  <si>
    <t>Roche launches NVIDIA AI factory to accelerate the development of new therapeutics and diagnostics solutions.pdf</t>
  </si>
  <si>
    <t>Roche inaugurates new research home for the Institute of Human Biology, pioneering human model systems to accelerate drug discovery and development</t>
  </si>
  <si>
    <t>The new building is part of a CHF 1.4 billion site investment, reinforcing Roche’s commitment to Switzerland and the Basel life sciences cluster
这座新建筑是14亿瑞士法郎园区投资项目的一部分，这进一步彰显了罗氏对瑞士以及巴塞尔生命科学集群的承诺
The Institute of Human Biology (IHB) enables scientists to pioneer human model systems, accelerating the development of new medicines to improve the lives of patients
人类生物学研究所（IHB）助力科学家开创人类模型系统，加速新药研发，以改善患者的生活。
Federal Councillor Elisabeth Baume-Schneider, Head of the Federal Department of Home Affairs (FDHA), will attend the official opening ceremony
瑞士联邦内政部（FDHA）部长伊丽莎白·鲍姆-施耐德将出席官方开幕仪式</t>
  </si>
  <si>
    <t>Roche inaugurates new research home for the Institute of Human Biology, pioneering human model systems to accelerate drug discovery and development.pdf</t>
  </si>
  <si>
    <t>Novartis agrees to acquire Excellergy, Inc., building on allergy leadership with next-generation anti-IgE innovation</t>
  </si>
  <si>
    <t>Basel, March 27, 2026 – Novartis today announced that it has entered into an agreement to acquire Excellergy, Inc., a private biotech company developing next-generation anti-IgE therapies for IgE-driven diseases. The proposed acquisition adds Exl-111, a half-life extended, high-affinity anti-IgE antibody in Phase 1.</t>
  </si>
  <si>
    <t>诺华</t>
  </si>
  <si>
    <t>Novartis agrees to acquire Excellergy, Inc., building on allergy leadership with next-generation anti-IgE innovation.pdf</t>
  </si>
  <si>
    <t>Meningeal blood vessel blockage enhances anti-glioblastoma immunity</t>
  </si>
  <si>
    <t>Summary
The dura mater, the outermost meningeal layer that samples and presents central nervous system (CNS)-derived antigens, is a pivotal interface for CNS immunosurveillance. Here, we show that meningeal blood vessel blockage effectively suppresses glioblastoma (GBM) progression in murine models. Single-cell profiling of dura reveals a resident border-associated macrophage (rBAM) subset characterized by high neonatal Fc receptor expression, which endows rBAMs with superior capacity for presenting tumor antigens and activating CNS-patrolling T cells. Meningeal blood vessel blockage preserves dural colony-stimulating factor 1 (CSF-1) levels by restricting circulation-derived BAM (cBAM) and expands the rBAM pool, thereby enhancing T cell activation at the dura interface and amplifying intratumoral cytotoxic T cell responses. Clinically, rBAM abundance positively correlates with GBM patient survival. Our findings show that the dura is a critical regulator of anti-tumor immunity in CNS cancers and propose that meningeal blood vessel blockage may be a surgical strategy to potentiate GBM immunotherapy.
Graphical abstract</t>
  </si>
  <si>
    <t>Divergent tumor immunity determined by bacteria-cancer cell engagement</t>
  </si>
  <si>
    <t>Summary
Intratumor bacteria represent an understudied yet influential component of the cancer ecosystem, critically impinging cancer progression. In PyMT breast tumors, we find intracellular bacteria, when residing in cancer cell cytosol, promote metastasis by triggering cytosolic double-stranded DNA (dsDNA) accumulation, which in turn activates the tumor intrinsic cGAS-STING-interleukin (IL)-17B pathway and redirects neutrophils toward a protumor phenotype that inhibits cytotoxic T cells. By contrast, the same strain of bacteria, when present extracellularly, induces antitumor neutrophil activity without engaging the STING pathway. Physiologically, eliminating intracellular bacteria, or therapeutically introducing extracellular bacteria components, abrogates immunosuppression and prevents postsurgical metastatic recurrence in preclinical models. Clinically, the bacteria invasion signature we have developed is associated with poor prognosis in patients with breast cancer. In summary, the spatial interplay between bacteria and host cells in metastatic niches can shape divergent tumor immunity, highlighting bacterial-host engagement as a crucial determinant of cancer immune regulation and a potential therapeutic target.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</si>
</sst>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theme="1"/>
      <name val="DengXian"/>
      <charset val="134"/>
    </font>
    <font>
      <sz val="10"/>
      <name val="Calibri"/>
      <charset val="134"/>
    </font>
    <font>
      <u/>
      <sz val="11"/>
      <color rgb="FF0000FF"/>
      <name val="DengXi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176" fontId="0" fillId="0" borderId="0" xfId="0" applyNumberFormat="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2"/>
  <sheetViews>
    <sheetView tabSelected="1" topLeftCell="B1" workbookViewId="0">
      <selection activeCell="J1" sqref="J$1:K$1048576"/>
    </sheetView>
  </sheetViews>
  <sheetFormatPr defaultColWidth="9.64285714285714" defaultRowHeight="16.8"/>
  <cols>
    <col min="1" max="1" width="19" customWidth="1"/>
    <col min="2" max="2" width="61.75" customWidth="1"/>
    <col min="3" max="9" width="19" customWidth="1"/>
  </cols>
  <sheetData>
    <row r="1" ht="13" customHeight="1" spans="1:9">
      <c r="A1" s="1" t="s">
        <v>0</v>
      </c>
      <c r="B1" s="1" t="s">
        <v>1</v>
      </c>
      <c r="C1" s="1" t="s">
        <v>2</v>
      </c>
      <c r="D1" s="1" t="s">
        <v>3</v>
      </c>
      <c r="E1" s="1" t="s">
        <v>4</v>
      </c>
      <c r="F1" s="1" t="s">
        <v>5</v>
      </c>
      <c r="G1" s="1" t="s">
        <v>6</v>
      </c>
      <c r="H1" s="1" t="s">
        <v>7</v>
      </c>
      <c r="I1" s="1" t="s">
        <v>8</v>
      </c>
    </row>
    <row r="2" ht="25.5" customHeight="1" spans="1:9">
      <c r="A2" t="s">
        <v>9</v>
      </c>
      <c r="B2" t="s">
        <v>10</v>
      </c>
      <c r="C2" t="s">
        <v>11</v>
      </c>
      <c r="D2" s="2">
        <v>46090</v>
      </c>
      <c r="E2" t="s">
        <v>12</v>
      </c>
      <c r="F2" t="s">
        <v>13</v>
      </c>
      <c r="G2" t="s">
        <v>14</v>
      </c>
      <c r="H2" s="3" t="str">
        <f>HYPERLINK("https://www.astrazeneca.com/media-centre/press-releases/2026/enhertu-granted-priority-review-in-the-us-as-post-neoadjuvant-treatment-for-patients-with-her2-positive-early-breast-cancer.html","https://www.astrazeneca.com/media-centre/press-releases/2026/enhertu-granted-priority-review-in-the-us-as-post-neoadjuvant-treatment-for-patients-with-her2-positive-early-breast-cancer.html")</f>
        <v>https://www.astrazeneca.com/media-centre/press-releases/2026/enhertu-granted-priority-review-in-the-us-as-post-neoadjuvant-treatment-for-patients-with-her2-positive-early-breast-cancer.html</v>
      </c>
      <c r="I2" t="s">
        <v>15</v>
      </c>
    </row>
    <row r="3" ht="25.5" customHeight="1" spans="1:9">
      <c r="A3" t="s">
        <v>16</v>
      </c>
      <c r="B3" t="s">
        <v>17</v>
      </c>
      <c r="C3" t="s">
        <v>11</v>
      </c>
      <c r="D3" s="2">
        <v>46108</v>
      </c>
      <c r="E3" t="s">
        <v>12</v>
      </c>
      <c r="F3" t="s">
        <v>13</v>
      </c>
      <c r="G3" t="s">
        <v>18</v>
      </c>
      <c r="H3" s="3" t="str">
        <f>HYPERLINK("https://www.astrazeneca.com/media-centre/press-releases/2026/tozorakimab-met-primary-endpoint-in-oberon-titania-phase-iii-trials-in-patients-with-copd.html","https://www.astrazeneca.com/media-centre/press-releases/2026/tozorakimab-met-primary-endpoint-in-oberon-titania-phase-iii-trials-in-patients-with-copd.html")</f>
        <v>https://www.astrazeneca.com/media-centre/press-releases/2026/tozorakimab-met-primary-endpoint-in-oberon-titania-phase-iii-trials-in-patients-with-copd.html</v>
      </c>
      <c r="I3" t="s">
        <v>19</v>
      </c>
    </row>
    <row r="4" ht="25.5" customHeight="1" spans="1:9">
      <c r="A4" t="s">
        <v>20</v>
      </c>
      <c r="B4" t="s">
        <v>21</v>
      </c>
      <c r="C4" t="s">
        <v>11</v>
      </c>
      <c r="D4" s="2">
        <v>46099</v>
      </c>
      <c r="E4" t="s">
        <v>22</v>
      </c>
      <c r="F4" t="s">
        <v>13</v>
      </c>
      <c r="G4" t="s">
        <v>18</v>
      </c>
      <c r="H4" s="3" t="str">
        <f>HYPERLINK("https://www.sanofi.com/en/media-room/press-releases/2026/2026-03-18-06-00-00-3257888","https://www.sanofi.com/en/media-room/press-releases/2026/2026-03-18-06-00-00-3257888")</f>
        <v>https://www.sanofi.com/en/media-room/press-releases/2026/2026-03-18-06-00-00-3257888</v>
      </c>
      <c r="I4" t="s">
        <v>23</v>
      </c>
    </row>
    <row r="5" ht="25.5" customHeight="1" spans="1:9">
      <c r="A5" t="s">
        <v>24</v>
      </c>
      <c r="B5" t="s">
        <v>25</v>
      </c>
      <c r="C5" t="s">
        <v>11</v>
      </c>
      <c r="D5" s="2">
        <v>46108</v>
      </c>
      <c r="E5" t="s">
        <v>26</v>
      </c>
      <c r="F5" t="s">
        <v>13</v>
      </c>
      <c r="G5" t="s">
        <v>27</v>
      </c>
      <c r="H5" s="3" t="str">
        <f>HYPERLINK("https://www.novonordisk.com/content/nncorp/global/en/news-and-media/news-and-ir-materials/news-details.html?id=916521","https://www.novonordisk.com/content/nncorp/global/en/news-and-media/news-and-ir-materials/news-details.html?id=916521")</f>
        <v>https://www.novonordisk.com/content/nncorp/global/en/news-and-media/news-and-ir-materials/news-details.html?id=916521</v>
      </c>
      <c r="I5" t="s">
        <v>28</v>
      </c>
    </row>
    <row r="6" ht="25.5" customHeight="1" spans="1:9">
      <c r="A6" t="s">
        <v>29</v>
      </c>
      <c r="B6" t="s">
        <v>30</v>
      </c>
      <c r="C6" t="s">
        <v>11</v>
      </c>
      <c r="D6" s="2">
        <v>46109</v>
      </c>
      <c r="E6" t="s">
        <v>31</v>
      </c>
      <c r="F6" t="s">
        <v>13</v>
      </c>
      <c r="G6" t="s">
        <v>32</v>
      </c>
      <c r="H6" s="3" t="str">
        <f>HYPERLINK("https://investor.lilly.com/news-releases/news-release-details/phase-3b-data-presented-aad-annual-meeting-show-lillys-taltz","https://investor.lilly.com/news-releases/news-release-details/phase-3b-data-presented-aad-annual-meeting-show-lillys-taltz")</f>
        <v>https://investor.lilly.com/news-releases/news-release-details/phase-3b-data-presented-aad-annual-meeting-show-lillys-taltz</v>
      </c>
      <c r="I6" t="s">
        <v>33</v>
      </c>
    </row>
    <row r="7" ht="25.5" customHeight="1" spans="1:9">
      <c r="A7" t="s">
        <v>34</v>
      </c>
      <c r="B7" t="s">
        <v>35</v>
      </c>
      <c r="C7" t="s">
        <v>11</v>
      </c>
      <c r="D7" s="2">
        <v>46100</v>
      </c>
      <c r="E7" t="s">
        <v>31</v>
      </c>
      <c r="F7" t="s">
        <v>13</v>
      </c>
      <c r="G7" t="s">
        <v>36</v>
      </c>
      <c r="H7" s="3" t="str">
        <f>HYPERLINK("https://investor.lilly.com/news-releases/news-release-details/lillys-triple-agonist-retatrutide-demonstrated-significant","https://investor.lilly.com/news-releases/news-release-details/lillys-triple-agonist-retatrutide-demonstrated-significant")</f>
        <v>https://investor.lilly.com/news-releases/news-release-details/lillys-triple-agonist-retatrutide-demonstrated-significant</v>
      </c>
      <c r="I7" t="s">
        <v>37</v>
      </c>
    </row>
    <row r="8" ht="25.5" customHeight="1" spans="1:9">
      <c r="A8" t="s">
        <v>38</v>
      </c>
      <c r="B8" t="s">
        <v>39</v>
      </c>
      <c r="C8" t="s">
        <v>11</v>
      </c>
      <c r="D8" s="2">
        <v>46110</v>
      </c>
      <c r="E8" t="s">
        <v>40</v>
      </c>
      <c r="F8" t="s">
        <v>13</v>
      </c>
      <c r="G8" t="s">
        <v>41</v>
      </c>
      <c r="H8" s="3" t="s">
        <v>42</v>
      </c>
      <c r="I8" t="s">
        <v>43</v>
      </c>
    </row>
    <row r="9" ht="25.5" customHeight="1" spans="1:9">
      <c r="A9" t="s">
        <v>44</v>
      </c>
      <c r="B9" t="s">
        <v>45</v>
      </c>
      <c r="C9" t="s">
        <v>11</v>
      </c>
      <c r="D9" s="2">
        <v>46101</v>
      </c>
      <c r="E9" t="s">
        <v>40</v>
      </c>
      <c r="F9" t="s">
        <v>13</v>
      </c>
      <c r="G9" t="s">
        <v>46</v>
      </c>
      <c r="H9" s="3" t="str">
        <f>HYPERLINK("https://news.bms.com/news/corporate-financial/2026/Bristol-Myers-Squibb-Transforms-the-Classical-Hodgkin-Lymphoma-Treatment-Paradigm-with-Expanded-U-S--and-EMA-Approvals-for-Opdivo-nivolumab/default.aspx","https://news.bms.com/news/corporate-financial/2026/Bristol-Myers-Squibb-Transforms-the-Classical-Hodgkin-Lymphoma-Treatment-Paradigm-with-Expanded-U-S--and-EMA-Approvals-for-Opdivo-nivolumab/default.aspx")</f>
        <v>https://news.bms.com/news/corporate-financial/2026/Bristol-Myers-Squibb-Transforms-the-Classical-Hodgkin-Lymphoma-Treatment-Paradigm-with-Expanded-U-S--and-EMA-Approvals-for-Opdivo-nivolumab/default.aspx</v>
      </c>
      <c r="I9" t="s">
        <v>47</v>
      </c>
    </row>
    <row r="10" ht="25.5" customHeight="1" spans="1:9">
      <c r="A10" t="s">
        <v>48</v>
      </c>
      <c r="B10" t="s">
        <v>49</v>
      </c>
      <c r="C10" t="s">
        <v>11</v>
      </c>
      <c r="D10" s="2">
        <v>46090</v>
      </c>
      <c r="E10" t="s">
        <v>40</v>
      </c>
      <c r="F10" t="s">
        <v>13</v>
      </c>
      <c r="G10" t="s">
        <v>14</v>
      </c>
      <c r="H10" s="3" t="str">
        <f>HYPERLINK("https://news.bms.com/news/corporate-financial/2026/Bristol-Myers-Squibb-Announces-Positive-Phase-3-Results-from-the-SUCCESSOR-2-Study-of-Oral-Mezigdomide-in-Relapsed-or-Refractory-Multiple-Myeloma/default.aspx","https://news.bms.com/news/corporate-financial/2026/Bristol-Myers-Squibb-Announces-Positive-Phase-3-Results-from-the-SUCCESSOR-2-Study-of-Oral-Mezigdomide-in-Relapsed-or-Refractory-Multiple-Myeloma/default.aspx")</f>
        <v>https://news.bms.com/news/corporate-financial/2026/Bristol-Myers-Squibb-Announces-Positive-Phase-3-Results-from-the-SUCCESSOR-2-Study-of-Oral-Mezigdomide-in-Relapsed-or-Refractory-Multiple-Myeloma/default.aspx</v>
      </c>
      <c r="I10" t="s">
        <v>50</v>
      </c>
    </row>
    <row r="11" ht="25.5" customHeight="1" spans="1:9">
      <c r="A11" t="s">
        <v>51</v>
      </c>
      <c r="B11" t="s">
        <v>52</v>
      </c>
      <c r="C11" t="s">
        <v>11</v>
      </c>
      <c r="D11" s="2">
        <v>46087</v>
      </c>
      <c r="E11" t="s">
        <v>40</v>
      </c>
      <c r="F11" t="s">
        <v>13</v>
      </c>
      <c r="G11" t="s">
        <v>27</v>
      </c>
      <c r="H11" s="3" t="str">
        <f>HYPERLINK("https://news.bms.com/news/corporate-financial/2026/U-S--FDA-Approves-Bristol-Myers-Squibbs-Sotyktu-deucravacitinib-for-the-Treatment-of-Adults-with-Active-Psoriatic-Arthritis/default.aspx","https://news.bms.com/news/corporate-financial/2026/U-S--FDA-Approves-Bristol-Myers-Squibbs-Sotyktu-deucravacitinib-for-the-Treatment-of-Adults-with-Active-Psoriatic-Arthritis/default.aspx")</f>
        <v>https://news.bms.com/news/corporate-financial/2026/U-S--FDA-Approves-Bristol-Myers-Squibbs-Sotyktu-deucravacitinib-for-the-Treatment-of-Adults-with-Active-Psoriatic-Arthritis/default.aspx</v>
      </c>
      <c r="I11" t="s">
        <v>53</v>
      </c>
    </row>
    <row r="12" ht="25.5" customHeight="1" spans="1:8">
      <c r="A12" t="s">
        <v>54</v>
      </c>
      <c r="B12" t="s">
        <v>55</v>
      </c>
      <c r="C12" t="s">
        <v>56</v>
      </c>
      <c r="D12" s="2">
        <v>46106</v>
      </c>
      <c r="E12" t="s">
        <v>57</v>
      </c>
      <c r="F12" t="s">
        <v>58</v>
      </c>
      <c r="G12" t="s">
        <v>59</v>
      </c>
      <c r="H12" s="3" t="str">
        <f>HYPERLINK("https://www.nature.com/articles/s41591-026-04299-5","Pembrolizumab and olaparib in homologous-recombination-deficient metastatic pancreatic cancer: the phase 2 POLAR trial | Nature Medicine")</f>
        <v>Pembrolizumab and olaparib in homologous-recombination-deficient metastatic pancreatic cancer: the phase 2 POLAR trial | Nature Medicine</v>
      </c>
    </row>
    <row r="13" ht="25.5" customHeight="1" spans="1:8">
      <c r="A13" t="s">
        <v>60</v>
      </c>
      <c r="B13" t="s">
        <v>61</v>
      </c>
      <c r="C13" t="s">
        <v>56</v>
      </c>
      <c r="D13" s="2">
        <v>46086</v>
      </c>
      <c r="E13" t="s">
        <v>62</v>
      </c>
      <c r="F13" t="s">
        <v>58</v>
      </c>
      <c r="G13" t="s">
        <v>18</v>
      </c>
      <c r="H13" s="3" t="str">
        <f>HYPERLINK("https://www.cell.com/cell/fulltext/S0092-8674(25)01421-7","Nanoparticles hijack calvarial immune cells for CNS drug delivery and stroke therapy: Cell")</f>
        <v>Nanoparticles hijack calvarial immune cells for CNS drug delivery and stroke therapy: Cell</v>
      </c>
    </row>
    <row r="14" ht="25.5" customHeight="1" spans="1:8">
      <c r="A14" t="s">
        <v>63</v>
      </c>
      <c r="B14" t="s">
        <v>64</v>
      </c>
      <c r="C14" t="s">
        <v>56</v>
      </c>
      <c r="D14" s="2">
        <v>46100</v>
      </c>
      <c r="E14" t="s">
        <v>65</v>
      </c>
      <c r="F14" t="s">
        <v>58</v>
      </c>
      <c r="G14" t="s">
        <v>59</v>
      </c>
      <c r="H14" s="3" t="str">
        <f>HYPERLINK("https://www.science.org/doi/10.1126/science.adx3162","Overcoming T cell tolerance to tumor self-antigens through catch-bond engineering | Science")</f>
        <v>Overcoming T cell tolerance to tumor self-antigens through catch-bond engineering | Science</v>
      </c>
    </row>
    <row r="15" ht="25.5" customHeight="1" spans="1:8">
      <c r="A15" t="s">
        <v>66</v>
      </c>
      <c r="B15" t="s">
        <v>67</v>
      </c>
      <c r="C15" t="s">
        <v>56</v>
      </c>
      <c r="D15" s="2">
        <v>46083</v>
      </c>
      <c r="E15" t="s">
        <v>68</v>
      </c>
      <c r="F15" t="s">
        <v>58</v>
      </c>
      <c r="G15" t="s">
        <v>69</v>
      </c>
      <c r="H15" s="3" t="str">
        <f>HYPERLINK("https://www.pnas.org/doi/10.1073/pnas.2525047123","Dynamic reprogramming of the tumor immune network via multicycle checkpoint degradation for cancer immunotherapy | PNAS")</f>
        <v>Dynamic reprogramming of the tumor immune network via multicycle checkpoint degradation for cancer immunotherapy | PNAS</v>
      </c>
    </row>
    <row r="16" ht="25.5" customHeight="1" spans="1:8">
      <c r="A16" t="s">
        <v>70</v>
      </c>
      <c r="B16" t="s">
        <v>71</v>
      </c>
      <c r="C16" t="s">
        <v>56</v>
      </c>
      <c r="D16" s="2">
        <v>46098</v>
      </c>
      <c r="E16" t="s">
        <v>68</v>
      </c>
      <c r="F16" t="s">
        <v>58</v>
      </c>
      <c r="G16" t="s">
        <v>72</v>
      </c>
      <c r="H16" s="3" t="str">
        <f>HYPERLINK("https://www.pnas.org/doi/10.1073/pnas.2519819123","Synthetic SIGLEC9-based chimeric switch receptor augments the efficacy of CAR macrophages against glioblastoma | PNAS")</f>
        <v>Synthetic SIGLEC9-based chimeric switch receptor augments the efficacy of CAR macrophages against glioblastoma | PNAS</v>
      </c>
    </row>
    <row r="17" ht="25.5" customHeight="1" spans="1:9">
      <c r="A17" t="s">
        <v>73</v>
      </c>
      <c r="B17" t="s">
        <v>74</v>
      </c>
      <c r="C17" t="s">
        <v>56</v>
      </c>
      <c r="D17" s="2">
        <v>46097</v>
      </c>
      <c r="E17" t="s">
        <v>75</v>
      </c>
      <c r="F17" t="s">
        <v>13</v>
      </c>
      <c r="G17" t="s">
        <v>41</v>
      </c>
      <c r="H17" s="3" t="str">
        <f>HYPERLINK("https://www.roche.com/media/releases/med-cor-2026-03-16","https://www.roche.com/media/releases/med-cor-2026-03-16")</f>
        <v>https://www.roche.com/media/releases/med-cor-2026-03-16</v>
      </c>
      <c r="I17" t="s">
        <v>76</v>
      </c>
    </row>
    <row r="18" ht="25.5" customHeight="1" spans="1:9">
      <c r="A18" t="s">
        <v>77</v>
      </c>
      <c r="B18" t="s">
        <v>78</v>
      </c>
      <c r="C18" t="s">
        <v>56</v>
      </c>
      <c r="D18" s="2">
        <v>46107</v>
      </c>
      <c r="E18" t="s">
        <v>75</v>
      </c>
      <c r="F18" t="s">
        <v>13</v>
      </c>
      <c r="G18" t="s">
        <v>41</v>
      </c>
      <c r="H18" s="3" t="str">
        <f>HYPERLINK("https://www.roche.com/media/releases/med-cor-2026-03-23","https://www.roche.com/media/releases/med-cor-2026-03-23")</f>
        <v>https://www.roche.com/media/releases/med-cor-2026-03-23</v>
      </c>
      <c r="I18" t="s">
        <v>79</v>
      </c>
    </row>
    <row r="19" ht="25.5" customHeight="1" spans="1:9">
      <c r="A19" t="s">
        <v>80</v>
      </c>
      <c r="B19" t="s">
        <v>81</v>
      </c>
      <c r="C19" t="s">
        <v>56</v>
      </c>
      <c r="D19" s="2">
        <v>46108</v>
      </c>
      <c r="E19" t="s">
        <v>82</v>
      </c>
      <c r="F19" t="s">
        <v>13</v>
      </c>
      <c r="G19" t="s">
        <v>18</v>
      </c>
      <c r="H19" s="3" t="str">
        <f>HYPERLINK("https://www.novartis.com/news/media-releases/novartis-agrees-acquire-excellergy-inc-building-allergy-leadership-next-generation-anti-ige-innovation","https://www.novartis.com/news/media-releases/novartis-agrees-acquire-excellergy-inc-building-allergy-leadership-next-generation-anti-ige-innovation")</f>
        <v>https://www.novartis.com/news/media-releases/novartis-agrees-acquire-excellergy-inc-building-allergy-leadership-next-generation-anti-ige-innovation</v>
      </c>
      <c r="I19" t="s">
        <v>83</v>
      </c>
    </row>
    <row r="20" ht="25.5" customHeight="1" spans="1:8">
      <c r="A20" t="s">
        <v>84</v>
      </c>
      <c r="B20" t="s">
        <v>85</v>
      </c>
      <c r="C20" t="s">
        <v>56</v>
      </c>
      <c r="D20" s="2">
        <v>46086</v>
      </c>
      <c r="E20" t="s">
        <v>62</v>
      </c>
      <c r="F20" t="s">
        <v>58</v>
      </c>
      <c r="G20" t="s">
        <v>72</v>
      </c>
      <c r="H20" s="3" t="str">
        <f>HYPERLINK("https://www.cell.com/cell/abstract/S0092-8674(25)01494-1","Meningeal blood vessel blockage enhances anti-glioblastoma immunity: Cell")</f>
        <v>Meningeal blood vessel blockage enhances anti-glioblastoma immunity: Cell</v>
      </c>
    </row>
    <row r="21" ht="25.5" customHeight="1" spans="1:8">
      <c r="A21" t="s">
        <v>86</v>
      </c>
      <c r="B21" t="s">
        <v>87</v>
      </c>
      <c r="C21" t="s">
        <v>56</v>
      </c>
      <c r="D21" s="2">
        <v>46100</v>
      </c>
      <c r="E21" t="s">
        <v>62</v>
      </c>
      <c r="F21" t="s">
        <v>58</v>
      </c>
      <c r="G21" t="s">
        <v>72</v>
      </c>
      <c r="H21" s="3" t="str">
        <f>HYPERLINK("https://www.cell.com/cell/fulltext/S0092-8674(25)01493-X","Divergent tumor immunity determined by bacteria-cancer cell engagement: Cell")</f>
        <v>Divergent tumor immunity determined by bacteria-cancer cell engagement: Cell</v>
      </c>
    </row>
    <row r="22" ht="25.5" customHeight="1"/>
    <row r="23" ht="25.5" customHeight="1"/>
    <row r="24" ht="25.5" customHeight="1"/>
    <row r="25" ht="25.5" customHeight="1"/>
    <row r="26" ht="25.5" customHeight="1"/>
    <row r="27" ht="25.5" customHeight="1"/>
    <row r="28" ht="25.5" customHeight="1"/>
    <row r="29" ht="25.5" customHeight="1"/>
    <row r="30" ht="25.5" customHeight="1"/>
    <row r="31" ht="25.5" customHeight="1"/>
    <row r="32" ht="25.5" customHeight="1"/>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sheetData>
  <autoFilter xmlns:etc="http://www.wps.cn/officeDocument/2017/etCustomData" ref="A1:I62" etc:filterBottomFollowUsedRange="0">
    <extLst/>
  </autoFilter>
  <dataValidations count="3">
    <dataValidation type="list" sqref="C12 C13 C19 C20 C21 C2:C11 C14:C18">
      <formula1>"技术动向,产品动向,无匹配类别,"</formula1>
    </dataValidation>
    <dataValidation type="list" sqref="E12 E13 E19 E20 E21 E2:E11 E14:E18">
      <formula1>"FDA,EMA,英国MHRA,欧盟委员会,日本PMDA,韩国MFDS,Nature,Lancet,JAMA,Cell,Science,PNAS,强生,艾伯维,默沙东,罗氏,辉瑞,阿斯利康,诺华,BMS,赛诺菲,诺和诺德,礼来,其他,Multimodal antigenic escape to GPRC5D-targeted T cell engagers in multiple myeloma"</formula1>
    </dataValidation>
    <dataValidation type="list" sqref="F12 F13 F19 F20 F21 F2:F11 F14:F18">
      <formula1>"政府监管,学术期刊,药企,其他"</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3月更新（3月信息）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WPS_1633742157</cp:lastModifiedBy>
  <dcterms:created xsi:type="dcterms:W3CDTF">2006-09-16T08:00:00Z</dcterms:created>
  <dcterms:modified xsi:type="dcterms:W3CDTF">2026-04-19T23:56:16Z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6A54D602B30C81FB20FBE469E8A130B6_43</vt:lpwstr>
  </property>
  <property fmtid="{D5CDD505-2E9C-101B-9397-08002B2CF9AE}" pid="3" name="KSOProductBuildVer">
    <vt:lpwstr>2052-7.5.1.8994</vt:lpwstr>
  </property>
</Properties>
</file>